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tente\Downloads\"/>
    </mc:Choice>
  </mc:AlternateContent>
  <xr:revisionPtr revIDLastSave="0" documentId="13_ncr:1_{E285C46A-A463-49C3-B111-2D46665FD4D5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Market indicators" sheetId="1" r:id="rId1"/>
    <sheet name="Macro analysis" sheetId="2" r:id="rId2"/>
    <sheet name="WIRP" sheetId="3" r:id="rId3"/>
    <sheet name="ECFC data" sheetId="4" r:id="rId4"/>
    <sheet name="Yield curv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8" i="5" l="1"/>
  <c r="C16" i="5"/>
  <c r="C16" i="2"/>
  <c r="G16" i="2" s="1"/>
  <c r="J8" i="2"/>
  <c r="E15" i="5"/>
  <c r="E14" i="5"/>
  <c r="E13" i="5"/>
  <c r="E12" i="5"/>
  <c r="E11" i="5"/>
  <c r="E10" i="5"/>
  <c r="E9" i="5"/>
  <c r="E8" i="5"/>
  <c r="E7" i="5"/>
  <c r="E6" i="5"/>
  <c r="E5" i="5"/>
  <c r="H21" i="3"/>
  <c r="G21" i="3"/>
  <c r="H20" i="3"/>
  <c r="H19" i="3"/>
  <c r="H18" i="3"/>
  <c r="G18" i="3"/>
  <c r="H17" i="3"/>
  <c r="G17" i="3"/>
  <c r="H16" i="3"/>
  <c r="G16" i="3"/>
  <c r="H15" i="3"/>
  <c r="H14" i="3"/>
  <c r="G14" i="3"/>
  <c r="H13" i="3"/>
  <c r="G13" i="3"/>
  <c r="H12" i="3"/>
  <c r="G12" i="3"/>
  <c r="H11" i="3"/>
  <c r="C8" i="3"/>
  <c r="G20" i="3" s="1"/>
  <c r="I17" i="1"/>
  <c r="I16" i="1"/>
  <c r="I14" i="1"/>
  <c r="H14" i="1"/>
  <c r="G14" i="1"/>
  <c r="F14" i="1"/>
  <c r="E14" i="1"/>
  <c r="I13" i="1"/>
  <c r="I12" i="1"/>
  <c r="I11" i="1"/>
  <c r="I9" i="1"/>
  <c r="I8" i="1"/>
  <c r="I7" i="1"/>
  <c r="C33" i="2"/>
  <c r="C32" i="2"/>
  <c r="C31" i="2"/>
  <c r="C30" i="2"/>
  <c r="C29" i="2"/>
  <c r="C28" i="2"/>
  <c r="C27" i="2"/>
  <c r="C26" i="2"/>
  <c r="E20" i="2"/>
  <c r="C20" i="2"/>
  <c r="G20" i="2" s="1"/>
  <c r="E19" i="2"/>
  <c r="C19" i="2"/>
  <c r="G19" i="2" s="1"/>
  <c r="E18" i="2"/>
  <c r="G18" i="2" s="1"/>
  <c r="C18" i="2"/>
  <c r="E17" i="2"/>
  <c r="C17" i="2"/>
  <c r="G17" i="2" s="1"/>
  <c r="E16" i="2"/>
  <c r="O11" i="2"/>
  <c r="N11" i="2"/>
  <c r="M11" i="2"/>
  <c r="J11" i="2"/>
  <c r="G11" i="2"/>
  <c r="H11" i="2" s="1"/>
  <c r="F11" i="2"/>
  <c r="E11" i="2"/>
  <c r="I11" i="2" s="1"/>
  <c r="D11" i="2"/>
  <c r="C11" i="2"/>
  <c r="O10" i="2"/>
  <c r="N10" i="2"/>
  <c r="M10" i="2"/>
  <c r="J10" i="2"/>
  <c r="H10" i="2"/>
  <c r="G10" i="2"/>
  <c r="F10" i="2"/>
  <c r="D10" i="2"/>
  <c r="E10" i="2" s="1"/>
  <c r="I10" i="2" s="1"/>
  <c r="C10" i="2"/>
  <c r="O9" i="2"/>
  <c r="N9" i="2"/>
  <c r="M9" i="2"/>
  <c r="J9" i="2"/>
  <c r="G9" i="2"/>
  <c r="H9" i="2" s="1"/>
  <c r="F9" i="2"/>
  <c r="D9" i="2"/>
  <c r="E9" i="2" s="1"/>
  <c r="C9" i="2"/>
  <c r="O8" i="2"/>
  <c r="N8" i="2"/>
  <c r="M8" i="2"/>
  <c r="G8" i="2"/>
  <c r="H8" i="2" s="1"/>
  <c r="F8" i="2"/>
  <c r="D8" i="2"/>
  <c r="E8" i="2" s="1"/>
  <c r="C8" i="2"/>
  <c r="O7" i="2"/>
  <c r="N7" i="2"/>
  <c r="M7" i="2"/>
  <c r="O6" i="2"/>
  <c r="N6" i="2"/>
  <c r="M6" i="2"/>
  <c r="I8" i="2" l="1"/>
  <c r="I9" i="2"/>
  <c r="G11" i="3"/>
  <c r="G15" i="3"/>
  <c r="G19" i="3"/>
</calcChain>
</file>

<file path=xl/sharedStrings.xml><?xml version="1.0" encoding="utf-8"?>
<sst xmlns="http://schemas.openxmlformats.org/spreadsheetml/2006/main" count="317" uniqueCount="213">
  <si>
    <t>Market indicators for the outlook</t>
  </si>
  <si>
    <t>Values in % unless stated. Blue = hardcoded from source; black = formula. "n/a" = not retrieved, take it from the FRED chart.</t>
  </si>
  <si>
    <t>Indicator</t>
  </si>
  <si>
    <t>Source / series</t>
  </si>
  <si>
    <t>Units</t>
  </si>
  <si>
    <t>Latest date</t>
  </si>
  <si>
    <t>Latest</t>
  </si>
  <si>
    <t>1Y ago date</t>
  </si>
  <si>
    <t>1Y ago</t>
  </si>
  <si>
    <t>Change (bp)</t>
  </si>
  <si>
    <t>Supports in the portfolio</t>
  </si>
  <si>
    <t>Inflation</t>
  </si>
  <si>
    <t>10Y breakeven inflation</t>
  </si>
  <si>
    <t>FRED T10YIE</t>
  </si>
  <si>
    <t>%</t>
  </si>
  <si>
    <t>n/a</t>
  </si>
  <si>
    <t>Gold, commodities, TIPS: inflation priced vs CPI consensus (ECFC)</t>
  </si>
  <si>
    <t>5Y breakeven inflation</t>
  </si>
  <si>
    <t>FRED T5YIE</t>
  </si>
  <si>
    <t>Same, closer to the ECFC horizon</t>
  </si>
  <si>
    <t>10Y real yield (TIPS)</t>
  </si>
  <si>
    <t>FRED DFII10</t>
  </si>
  <si>
    <t>Gold (high real yields weigh on gold), TIPS</t>
  </si>
  <si>
    <t>Rates</t>
  </si>
  <si>
    <t>2Y Treasury yield</t>
  </si>
  <si>
    <t>US Treasury par yield curve</t>
  </si>
  <si>
    <t>Front end: Fed hikes priced (with WIRP)</t>
  </si>
  <si>
    <t>10Y Treasury yield</t>
  </si>
  <si>
    <t>Duration choice</t>
  </si>
  <si>
    <t>30Y Treasury yield</t>
  </si>
  <si>
    <t>Duration choice: extra yield for long bonds</t>
  </si>
  <si>
    <t>2s10s spread (10Y - 2Y)</t>
  </si>
  <si>
    <t>Formula</t>
  </si>
  <si>
    <t>Curve shape</t>
  </si>
  <si>
    <t>Credit</t>
  </si>
  <si>
    <t>US investment grade OAS</t>
  </si>
  <si>
    <t>FRED BAMLC0A0CM (ICE BofA)</t>
  </si>
  <si>
    <t>VCIT: how much credit pays for its risk</t>
  </si>
  <si>
    <t>US high yield OAS</t>
  </si>
  <si>
    <t>FRED BAMLH0A0HYM2 (ICE BofA)</t>
  </si>
  <si>
    <t>HY, if included</t>
  </si>
  <si>
    <t>Risk and currency</t>
  </si>
  <si>
    <t>VIX</t>
  </si>
  <si>
    <t>FRED VIXCLS</t>
  </si>
  <si>
    <t>index</t>
  </si>
  <si>
    <t>Market stress today</t>
  </si>
  <si>
    <t>Broad US dollar index</t>
  </si>
  <si>
    <t>FRED DTWEXBGS</t>
  </si>
  <si>
    <t>index (Jan 2006=100)</t>
  </si>
  <si>
    <t>Gold, commodities, non-US equities in USD</t>
  </si>
  <si>
    <t>Sources: FRED, Federal Reserve Bank of St. Louis (fred.stlouisfed.org); U.S. Department of the Treasury, Daily Treasury Par Yield Curve Rates. Retrieved 12 Oct 2026.</t>
  </si>
  <si>
    <t>ICE BofA spread data: copyrighted, internal use only (FRED series notes). Cite the source; do not redistribute the series.</t>
  </si>
  <si>
    <t>Values transcribed automatically from the source pages: spot-check against FRED before use.</t>
  </si>
  <si>
    <t>Macro outlook: consensus (ECFC) and market pricing</t>
  </si>
  <si>
    <t>Chart data: US inflation consensus vs 5Y breakeven</t>
  </si>
  <si>
    <t>A. Where each economy is heading: the four regimes of Class 3</t>
  </si>
  <si>
    <t>Quarter</t>
  </si>
  <si>
    <t>CPI (YoY%)</t>
  </si>
  <si>
    <t>Core PCE (YoY%)</t>
  </si>
  <si>
    <t>5Y breakeven (today)</t>
  </si>
  <si>
    <t>Regime = direction of growth and inflation (Class 3, Part I). Change measured on year-on-year consensus rates. A change of 0 counts as "up".</t>
  </si>
  <si>
    <t>Q4 26</t>
  </si>
  <si>
    <t>Region</t>
  </si>
  <si>
    <t>Real GDP Q4 26</t>
  </si>
  <si>
    <t>Real GDP Q4 27</t>
  </si>
  <si>
    <t>Δ GDP (pp)</t>
  </si>
  <si>
    <t>CPI Q4 26</t>
  </si>
  <si>
    <t>CPI Q4 27</t>
  </si>
  <si>
    <t>Δ CPI (pp)</t>
  </si>
  <si>
    <t>Regime, Q4 26 → Q4 27</t>
  </si>
  <si>
    <t>Regime in 2026, Q1 26 → Q3 26</t>
  </si>
  <si>
    <t>Q1 27</t>
  </si>
  <si>
    <t>United States</t>
  </si>
  <si>
    <t>Q2 27</t>
  </si>
  <si>
    <t>Developed economies</t>
  </si>
  <si>
    <t>Q3 27</t>
  </si>
  <si>
    <t>European Union</t>
  </si>
  <si>
    <t>Q4 27</t>
  </si>
  <si>
    <t>Emerging economies</t>
  </si>
  <si>
    <t>Q1 28</t>
  </si>
  <si>
    <t>B. United States: what economists expect vs what markets price</t>
  </si>
  <si>
    <t>Variable</t>
  </si>
  <si>
    <t>Economists (ECFC)</t>
  </si>
  <si>
    <t>Horizon of the forecast</t>
  </si>
  <si>
    <t>Market today</t>
  </si>
  <si>
    <t>Market measure</t>
  </si>
  <si>
    <t>Gap, economists − market (bp)</t>
  </si>
  <si>
    <t>Reading</t>
  </si>
  <si>
    <t>Fed policy rate</t>
  </si>
  <si>
    <t>WIRP implied upper bound, Jan 2028</t>
  </si>
  <si>
    <t>Economists see cuts in 2027-28; the market prices ~3.4 more hikes, peaking in late 2027. Roughly 100bp apart: genuine uncertainty on the rate path</t>
  </si>
  <si>
    <t>2Y yield, 9 Oct 2026</t>
  </si>
  <si>
    <t>Economists expect front-end yields to fall</t>
  </si>
  <si>
    <t>10Y yield, 9 Oct 2026</t>
  </si>
  <si>
    <t>Economists expect long yields to fall: upside for duration if they are right</t>
  </si>
  <si>
    <t>Inflation, next 4 quarters</t>
  </si>
  <si>
    <t>avg Q4 26 – Q3 27 (CPI)</t>
  </si>
  <si>
    <t>5Y breakeven</t>
  </si>
  <si>
    <t>Near-term CPI consensus above breakeven; breakeven covers 5 years, so compare with care</t>
  </si>
  <si>
    <t>Inflation, end of horizon</t>
  </si>
  <si>
    <t>Q1 28 (CPI)</t>
  </si>
  <si>
    <t>By 2028 economists see CPI back near 2.3%: in line with what the market prices</t>
  </si>
  <si>
    <t>Market rate: WIRP implied effective rate for Jan 2028 plus today's target − effective spread, so it is comparable with the ECFC target-rate forecast.</t>
  </si>
  <si>
    <t>C. Other consensus signals relevant to the portfolio</t>
  </si>
  <si>
    <t>Signal</t>
  </si>
  <si>
    <t>Value</t>
  </si>
  <si>
    <t>Unit / horizon</t>
  </si>
  <si>
    <t>Implication for the SAA</t>
  </si>
  <si>
    <t>US budget balance</t>
  </si>
  <si>
    <t>% of GDP, Q4 27</t>
  </si>
  <si>
    <t>Persistent deficits (~6.5% of GDP) and debt above 100%: risk of a higher term premium on long bonds. Supports medium rather than long duration</t>
  </si>
  <si>
    <t>US government debt</t>
  </si>
  <si>
    <t>US core PCE inflation</t>
  </si>
  <si>
    <t>% YoY, Q4 26</t>
  </si>
  <si>
    <t>Core inflation above 3% until early 2027: the Fed’s hikes are about inflation, not overheating growth</t>
  </si>
  <si>
    <t>US unemployment</t>
  </si>
  <si>
    <t>%, Q4 27</t>
  </si>
  <si>
    <t>Labour market stable around 4.2%; payroll growth slow (~60k a month)</t>
  </si>
  <si>
    <t>US payrolls</t>
  </si>
  <si>
    <t>000s per month, Q4 27</t>
  </si>
  <si>
    <t>EUR/USD, expected change</t>
  </si>
  <si>
    <t>% change, Q3 26 → Q4 27</t>
  </si>
  <si>
    <t>Mild dollar weakening expected: small tailwind for non-US equities and gold measured in USD</t>
  </si>
  <si>
    <t>EM central bank rate, expected change</t>
  </si>
  <si>
    <t>bp, Q3 26 → Q1 28</t>
  </si>
  <si>
    <t>EM central banks expected to ease by about 140bp while EM growth rises to ~4.4%: supportive for EM equities</t>
  </si>
  <si>
    <t>EU real GDP growth</t>
  </si>
  <si>
    <t>% YoY, Q4 27</t>
  </si>
  <si>
    <t>Europe grows slowly (~1.5%) with ECB rates near 2.7-2.9%: no case for a European overweight from growth alone</t>
  </si>
  <si>
    <t>D. Takeaways for the outlook slides</t>
  </si>
  <si>
    <t>1. In 2026 inflation rose everywhere. In the US and EM growth slowed at the same time (stagflation: US CPI 2.7% → 3.4%), which explains the Fed hike in September.</t>
  </si>
  <si>
    <t>2. The consensus expects a return to goldilocks in 2027 in every region: steady or rising growth, inflation falling back towards 2-2.5%.</t>
  </si>
  <si>
    <t>3. Markets do not share that view: fed funds futures price ~3.4 more hikes, to ~4.8% (upper bound) by late 2027; economists see ~3.9% by early 2028.</t>
  </si>
  <si>
    <t>4. Economists expect 10Y yields ~60bp lower by end-2027; deficits above 6% of GDP argue the other way for the long end. Medium duration balances the two.</t>
  </si>
  <si>
    <t>5. Inflation protection is not expensive: the 5Y breakeven (~2.3%) sits below near-term CPI forecasts and in line with the 2028 consensus.</t>
  </si>
  <si>
    <t>6. Conclusion for the SAA: the scenarios are genuinely uncertain (stagflation now, goldilocks expected, hikes priced). We balance risk across regimes instead of betting on one.</t>
  </si>
  <si>
    <t>Notes: the "European Union" export is the EU-27 aggregate, not the euro area (Eurozone). EM 2Y/10Y consensus series show breaks (aggregate composition changes) and are not used.</t>
  </si>
  <si>
    <t>Sources: Bloomberg ECFC (consensus of economists), Bloomberg WIRP, FRED, U.S. Treasury.</t>
  </si>
  <si>
    <t>Quadrants: right = growth up, left = growth down; top = inflation up, bottom = inflation down. Bottom-right = goldilocks.</t>
  </si>
  <si>
    <t>Fed funds path priced by the market (Bloomberg WIRP, fed funds futures)</t>
  </si>
  <si>
    <t>Pricing date</t>
  </si>
  <si>
    <t>Target rate (upper bound, %)</t>
  </si>
  <si>
    <t>Effective fed funds rate (%)</t>
  </si>
  <si>
    <t>Current implied overnight rate (%)</t>
  </si>
  <si>
    <t>Spread target − effective (%)</t>
  </si>
  <si>
    <t>FOMC meeting</t>
  </si>
  <si>
    <t>Cumulative # of 25bp moves</t>
  </si>
  <si>
    <t>Implied change vs today (%)</t>
  </si>
  <si>
    <t>Implied overnight rate (%)</t>
  </si>
  <si>
    <t>Implied upper bound (%)</t>
  </si>
  <si>
    <t>Effective rate today (%)</t>
  </si>
  <si>
    <t>Source: Bloomberg WIRP, fed funds futures, priced 12 Oct 2026 (exported by the team). Blue = from the export; black = formula.</t>
  </si>
  <si>
    <t>Implied rates are for the effective fed funds rate. "Implied upper bound" adds today's target − effective spread, to compare with ECFC, which forecasts the target rate.</t>
  </si>
  <si>
    <t>Probabilities and rates are market-implied (they include risk premia), not true probabilities. The raw export shows the probability column ×100 (e.g. 2160%); the clean column is used.</t>
  </si>
  <si>
    <t>Bloomberg ECFC consensus forecasts, quarterly (exported by the team, 12 Oct 2026)</t>
  </si>
  <si>
    <t>Blue = values from the ECFC export. Q4 25 to Q2 26 are mostly realised data; Q3 26 onward are estimates and forecasts. Blank = no consensus in the export.</t>
  </si>
  <si>
    <t>Q4 25</t>
  </si>
  <si>
    <t>Q1 26</t>
  </si>
  <si>
    <t>Q2 26</t>
  </si>
  <si>
    <t>Q3 26</t>
  </si>
  <si>
    <t>Economic Activity</t>
  </si>
  <si>
    <t>Real GDP (YoY%)</t>
  </si>
  <si>
    <t>Real GDP (QoQ% SAAR)</t>
  </si>
  <si>
    <t>Consumer Spending (QoQ% SAAR)</t>
  </si>
  <si>
    <t>Government Spending (QoQ% SAAR)</t>
  </si>
  <si>
    <t>Private Investment (QoQ% SAAR)</t>
  </si>
  <si>
    <t>Exports (QoQ% SAAR)</t>
  </si>
  <si>
    <t>Imports (QoQ% SAAR)</t>
  </si>
  <si>
    <t>Industrial Production (YoY %)</t>
  </si>
  <si>
    <t>Price Indices</t>
  </si>
  <si>
    <t>PCE Price Index (YoY%)</t>
  </si>
  <si>
    <t>Core PCE (yoy%)</t>
  </si>
  <si>
    <t>Housing Market</t>
  </si>
  <si>
    <t>Housing Starts (000s SAAR, monthly avg.)</t>
  </si>
  <si>
    <t>New Home Sales (000s SAAR, monthly avg.)</t>
  </si>
  <si>
    <t>Existing Home Sales (Mln SAAR, monthly avg.)</t>
  </si>
  <si>
    <t>Building Permits (000s SAAR, monthly avg.)</t>
  </si>
  <si>
    <t>Labor Market</t>
  </si>
  <si>
    <t>Unemployment (%)</t>
  </si>
  <si>
    <t>Non Farm Payrolls (000s SA, monthly chg.)</t>
  </si>
  <si>
    <t>Average Hourly Earnings (YoY%)</t>
  </si>
  <si>
    <t>External Balance</t>
  </si>
  <si>
    <t>Curr. Acct. (% of GDP)</t>
  </si>
  <si>
    <t>Financial Balances</t>
  </si>
  <si>
    <t>Budget (% of GDP)</t>
  </si>
  <si>
    <t>Government Debt (% of GDP)</t>
  </si>
  <si>
    <t>Interest Rates</t>
  </si>
  <si>
    <t>Central Bank Rate (%)</t>
  </si>
  <si>
    <t>3-Month Rate (%)</t>
  </si>
  <si>
    <t>2-Year Note (%)</t>
  </si>
  <si>
    <t>10-Year Note (%)</t>
  </si>
  <si>
    <t>Exchange Rates</t>
  </si>
  <si>
    <t>EURUSD</t>
  </si>
  <si>
    <t>US Treasury par yield curve (%)</t>
  </si>
  <si>
    <t>Maturity</t>
  </si>
  <si>
    <t>9 Oct 2026</t>
  </si>
  <si>
    <t>9 Oct 2025</t>
  </si>
  <si>
    <t>1M</t>
  </si>
  <si>
    <t>3M</t>
  </si>
  <si>
    <t>6M</t>
  </si>
  <si>
    <t>1Y</t>
  </si>
  <si>
    <t>2Y</t>
  </si>
  <si>
    <t>3Y</t>
  </si>
  <si>
    <t>5Y</t>
  </si>
  <si>
    <t>7Y</t>
  </si>
  <si>
    <t>10Y</t>
  </si>
  <si>
    <t>20Y</t>
  </si>
  <si>
    <t>30Y</t>
  </si>
  <si>
    <t>Source: U.S. Department of the Treasury, Daily Treasury Par Yield Curve Rates (home.treasury.gov). Retrieved 12 Oct 2026.</t>
  </si>
  <si>
    <t>Blue cells are hardcoded inputs copied from the source; check against the Treasury table before use.</t>
  </si>
  <si>
    <t>All numbers are formulas linked to "ECFC data" and "Market indicators", except the blue WIRP input (also provided by BBG).</t>
  </si>
  <si>
    <t>* "negative probability" means there is more consensus on a cut than a hike</t>
  </si>
  <si>
    <t>Net implied probability of a 25bps hike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</si>
</sst>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+0;\-0;0"/>
    <numFmt numFmtId="165" formatCode="0.0"/>
    <numFmt numFmtId="166" formatCode="\+0.0;\-0.0;0.0"/>
    <numFmt numFmtId="167" formatCode="0.0%"/>
    <numFmt numFmtId="168" formatCode="0.000"/>
    <numFmt numFmtId="169" formatCode="dd\ mmm\ yy"/>
  </numFmts>
  <fonts count="11" x14ac:knownFonts="1">
    <font>
      <sz val="11"/>
      <color theme="1"/>
      <name val="Calibri"/>
      <family val="2"/>
      <charset val="1"/>
    </font>
    <font>
      <b/>
      <sz val="12"/>
      <name val="Arial"/>
      <charset val="1"/>
    </font>
    <font>
      <i/>
      <sz val="9"/>
      <name val="Arial"/>
      <charset val="1"/>
    </font>
    <font>
      <b/>
      <sz val="10"/>
      <name val="Arial"/>
      <charset val="1"/>
    </font>
    <font>
      <b/>
      <sz val="10"/>
      <color rgb="FF1F4E79"/>
      <name val="Arial"/>
      <charset val="1"/>
    </font>
    <font>
      <sz val="10"/>
      <name val="Arial"/>
      <charset val="1"/>
    </font>
    <font>
      <b/>
      <sz val="9"/>
      <name val="Arial"/>
      <charset val="1"/>
    </font>
    <font>
      <b/>
      <sz val="11"/>
      <color rgb="FF1F4E79"/>
      <name val="Arial"/>
      <charset val="1"/>
    </font>
    <font>
      <sz val="9"/>
      <name val="Arial"/>
      <charset val="1"/>
    </font>
    <font>
      <sz val="10"/>
      <color rgb="FF0000FF"/>
      <name val="Arial"/>
      <charset val="1"/>
    </font>
    <font>
      <i/>
      <sz val="10"/>
      <color rgb="FF595959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wrapText="1"/>
    </xf>
    <xf numFmtId="0" fontId="4" fillId="0" borderId="0" xfId="0" applyFont="1"/>
    <xf numFmtId="0" fontId="5" fillId="0" borderId="0" xfId="0" applyFont="1"/>
    <xf numFmtId="14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165" fontId="8" fillId="0" borderId="0" xfId="0" applyNumberFormat="1" applyFont="1"/>
    <xf numFmtId="2" fontId="8" fillId="0" borderId="0" xfId="0" applyNumberFormat="1" applyFont="1"/>
    <xf numFmtId="165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5" fillId="0" borderId="0" xfId="0" applyFont="1" applyAlignment="1">
      <alignment vertical="top" wrapText="1"/>
    </xf>
    <xf numFmtId="0" fontId="3" fillId="0" borderId="1" xfId="0" applyFont="1" applyBorder="1"/>
    <xf numFmtId="1" fontId="5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center"/>
    </xf>
    <xf numFmtId="14" fontId="9" fillId="0" borderId="0" xfId="0" applyNumberFormat="1" applyFont="1"/>
    <xf numFmtId="2" fontId="9" fillId="0" borderId="0" xfId="0" applyNumberFormat="1" applyFont="1"/>
    <xf numFmtId="168" fontId="9" fillId="0" borderId="0" xfId="0" applyNumberFormat="1" applyFont="1"/>
    <xf numFmtId="2" fontId="5" fillId="0" borderId="0" xfId="0" applyNumberFormat="1" applyFont="1"/>
    <xf numFmtId="169" fontId="9" fillId="0" borderId="0" xfId="0" applyNumberFormat="1" applyFont="1" applyAlignment="1">
      <alignment horizontal="center"/>
    </xf>
    <xf numFmtId="9" fontId="9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10" fillId="0" borderId="0" xfId="0" applyFont="1"/>
    <xf numFmtId="165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10" fontId="9" fillId="0" borderId="0" xfId="0" applyNumberFormat="1" applyFont="1" applyAlignment="1">
      <alignment horizontal="center"/>
    </xf>
    <xf numFmtId="2" fontId="0" fillId="0" borderId="0" xfId="0" applyNumberFormat="1"/>
    <xf numFmtId="0" fontId="3" fillId="2" borderId="1" xfId="0" applyFont="1" applyFill="1" applyBorder="1" applyAlignment="1">
      <alignment horizontal="center"/>
    </xf>
    <xf numFmtId="0" fontId="0" fillId="2" borderId="0" xfId="0" applyFill="1"/>
    <xf numFmtId="165" fontId="9" fillId="2" borderId="0" xfId="0" applyNumberFormat="1" applyFont="1" applyFill="1" applyAlignment="1">
      <alignment horizontal="center"/>
    </xf>
    <xf numFmtId="1" fontId="9" fillId="2" borderId="0" xfId="0" applyNumberFormat="1" applyFont="1" applyFill="1" applyAlignment="1">
      <alignment horizontal="center"/>
    </xf>
    <xf numFmtId="2" fontId="9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3B3B3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595959"/>
      <rgbColor rgb="FFA6A6A6"/>
      <rgbColor rgb="FF003366"/>
      <rgbColor rgb="FF70AD47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it-IT" sz="1800" b="1" strike="noStrike" spc="-1">
                <a:solidFill>
                  <a:srgbClr val="000000"/>
                </a:solidFill>
                <a:latin typeface="Calibri"/>
              </a:rPr>
              <a:t>US inflation: economists vs market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'Macro analysis'!$M$5</c:f>
              <c:strCache>
                <c:ptCount val="1"/>
                <c:pt idx="0">
                  <c:v>CPI (YoY%)</c:v>
                </c:pt>
              </c:strCache>
            </c:strRef>
          </c:tx>
          <c:spPr>
            <a:ln w="2556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'Macro analysis'!$L$6:$L$11</c:f>
              <c:strCache>
                <c:ptCount val="6"/>
                <c:pt idx="0">
                  <c:v>Q4 26</c:v>
                </c:pt>
                <c:pt idx="1">
                  <c:v>Q1 27</c:v>
                </c:pt>
                <c:pt idx="2">
                  <c:v>Q2 27</c:v>
                </c:pt>
                <c:pt idx="3">
                  <c:v>Q3 27</c:v>
                </c:pt>
                <c:pt idx="4">
                  <c:v>Q4 27</c:v>
                </c:pt>
                <c:pt idx="5">
                  <c:v>Q1 28</c:v>
                </c:pt>
              </c:strCache>
            </c:strRef>
          </c:cat>
          <c:val>
            <c:numRef>
              <c:f>'Macro analysis'!$M$6:$M$11</c:f>
              <c:numCache>
                <c:formatCode>0.0</c:formatCode>
                <c:ptCount val="6"/>
                <c:pt idx="0">
                  <c:v>3.5</c:v>
                </c:pt>
                <c:pt idx="1">
                  <c:v>3.2</c:v>
                </c:pt>
                <c:pt idx="2">
                  <c:v>2.2000000000000002</c:v>
                </c:pt>
                <c:pt idx="3">
                  <c:v>2.4</c:v>
                </c:pt>
                <c:pt idx="4">
                  <c:v>2.1</c:v>
                </c:pt>
                <c:pt idx="5">
                  <c:v>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08-4AF4-85BC-767C54BC0CB9}"/>
            </c:ext>
          </c:extLst>
        </c:ser>
        <c:ser>
          <c:idx val="1"/>
          <c:order val="1"/>
          <c:tx>
            <c:strRef>
              <c:f>'Macro analysis'!$N$5</c:f>
              <c:strCache>
                <c:ptCount val="1"/>
                <c:pt idx="0">
                  <c:v>Core PCE (YoY%)</c:v>
                </c:pt>
              </c:strCache>
            </c:strRef>
          </c:tx>
          <c:spPr>
            <a:ln w="2556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'Macro analysis'!$L$6:$L$11</c:f>
              <c:strCache>
                <c:ptCount val="6"/>
                <c:pt idx="0">
                  <c:v>Q4 26</c:v>
                </c:pt>
                <c:pt idx="1">
                  <c:v>Q1 27</c:v>
                </c:pt>
                <c:pt idx="2">
                  <c:v>Q2 27</c:v>
                </c:pt>
                <c:pt idx="3">
                  <c:v>Q3 27</c:v>
                </c:pt>
                <c:pt idx="4">
                  <c:v>Q4 27</c:v>
                </c:pt>
                <c:pt idx="5">
                  <c:v>Q1 28</c:v>
                </c:pt>
              </c:strCache>
            </c:strRef>
          </c:cat>
          <c:val>
            <c:numRef>
              <c:f>'Macro analysis'!$N$6:$N$11</c:f>
              <c:numCache>
                <c:formatCode>0.0</c:formatCode>
                <c:ptCount val="6"/>
                <c:pt idx="0">
                  <c:v>3.3</c:v>
                </c:pt>
                <c:pt idx="1">
                  <c:v>2.8</c:v>
                </c:pt>
                <c:pt idx="2">
                  <c:v>2.6</c:v>
                </c:pt>
                <c:pt idx="3">
                  <c:v>2.5</c:v>
                </c:pt>
                <c:pt idx="4">
                  <c:v>2.4</c:v>
                </c:pt>
                <c:pt idx="5">
                  <c:v>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08-4AF4-85BC-767C54BC0CB9}"/>
            </c:ext>
          </c:extLst>
        </c:ser>
        <c:ser>
          <c:idx val="2"/>
          <c:order val="2"/>
          <c:tx>
            <c:strRef>
              <c:f>'Macro analysis'!$O$5</c:f>
              <c:strCache>
                <c:ptCount val="1"/>
                <c:pt idx="0">
                  <c:v>5Y breakeven (today)</c:v>
                </c:pt>
              </c:strCache>
            </c:strRef>
          </c:tx>
          <c:spPr>
            <a:ln w="2556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'Macro analysis'!$L$6:$L$11</c:f>
              <c:strCache>
                <c:ptCount val="6"/>
                <c:pt idx="0">
                  <c:v>Q4 26</c:v>
                </c:pt>
                <c:pt idx="1">
                  <c:v>Q1 27</c:v>
                </c:pt>
                <c:pt idx="2">
                  <c:v>Q2 27</c:v>
                </c:pt>
                <c:pt idx="3">
                  <c:v>Q3 27</c:v>
                </c:pt>
                <c:pt idx="4">
                  <c:v>Q4 27</c:v>
                </c:pt>
                <c:pt idx="5">
                  <c:v>Q1 28</c:v>
                </c:pt>
              </c:strCache>
            </c:strRef>
          </c:cat>
          <c:val>
            <c:numRef>
              <c:f>'Macro analysis'!$O$6:$O$11</c:f>
              <c:numCache>
                <c:formatCode>0.00</c:formatCode>
                <c:ptCount val="6"/>
                <c:pt idx="0">
                  <c:v>2.34</c:v>
                </c:pt>
                <c:pt idx="1">
                  <c:v>2.34</c:v>
                </c:pt>
                <c:pt idx="2">
                  <c:v>2.34</c:v>
                </c:pt>
                <c:pt idx="3">
                  <c:v>2.34</c:v>
                </c:pt>
                <c:pt idx="4">
                  <c:v>2.34</c:v>
                </c:pt>
                <c:pt idx="5">
                  <c:v>2.34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08-4AF4-85BC-767C54BC0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4693025"/>
        <c:axId val="96319205"/>
      </c:lineChart>
      <c:catAx>
        <c:axId val="646930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t-IT"/>
          </a:p>
        </c:txPr>
        <c:crossAx val="96319205"/>
        <c:crosses val="autoZero"/>
        <c:auto val="1"/>
        <c:lblAlgn val="ctr"/>
        <c:lblOffset val="100"/>
        <c:noMultiLvlLbl val="0"/>
      </c:catAx>
      <c:valAx>
        <c:axId val="96319205"/>
        <c:scaling>
          <c:orientation val="minMax"/>
          <c:max val="4"/>
          <c:min val="1.5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it-IT" sz="1000" b="1" strike="noStrike" spc="-1">
                    <a:solidFill>
                      <a:srgbClr val="000000"/>
                    </a:solidFill>
                    <a:latin typeface="Calibri"/>
                  </a:rPr>
                  <a:t>% YoY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t-IT"/>
          </a:p>
        </c:txPr>
        <c:crossAx val="6469302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it-I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it-IT" sz="1800" b="1" strike="noStrike" spc="-1">
                <a:solidFill>
                  <a:srgbClr val="000000"/>
                </a:solidFill>
                <a:latin typeface="Calibri"/>
              </a:rPr>
              <a:t>Consensus regime shift, Q4 26 → Q4 27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United States</c:v>
          </c:tx>
          <c:spPr>
            <a:ln w="28440">
              <a:noFill/>
            </a:ln>
          </c:spPr>
          <c:marker>
            <c:symbol val="circle"/>
            <c:size val="10"/>
            <c:spPr>
              <a:solidFill>
                <a:srgbClr val="1F4E79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'Macro analysis'!$E$8</c:f>
              <c:numCache>
                <c:formatCode>\+0.0;\-0.0;0.0</c:formatCode>
                <c:ptCount val="1"/>
                <c:pt idx="0">
                  <c:v>0</c:v>
                </c:pt>
              </c:numCache>
            </c:numRef>
          </c:xVal>
          <c:yVal>
            <c:numRef>
              <c:f>'Macro analysis'!$H$8</c:f>
              <c:numCache>
                <c:formatCode>\+0.0;\-0.0;0.0</c:formatCode>
                <c:ptCount val="1"/>
                <c:pt idx="0">
                  <c:v>-1.4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D3-45C7-BD64-8363A094B235}"/>
            </c:ext>
          </c:extLst>
        </c:ser>
        <c:ser>
          <c:idx val="1"/>
          <c:order val="1"/>
          <c:tx>
            <c:v>Developed economies</c:v>
          </c:tx>
          <c:spPr>
            <a:ln w="28440">
              <a:noFill/>
            </a:ln>
          </c:spPr>
          <c:marker>
            <c:symbol val="circle"/>
            <c:size val="10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'Macro analysis'!$E$9</c:f>
              <c:numCache>
                <c:formatCode>\+0.0;\-0.0;0.0</c:formatCode>
                <c:ptCount val="1"/>
                <c:pt idx="0">
                  <c:v>9.9999999999999867E-2</c:v>
                </c:pt>
              </c:numCache>
            </c:numRef>
          </c:xVal>
          <c:yVal>
            <c:numRef>
              <c:f>'Macro analysis'!$H$9</c:f>
              <c:numCache>
                <c:formatCode>\+0.0;\-0.0;0.0</c:formatCode>
                <c:ptCount val="1"/>
                <c:pt idx="0">
                  <c:v>-1.4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D3-45C7-BD64-8363A094B235}"/>
            </c:ext>
          </c:extLst>
        </c:ser>
        <c:ser>
          <c:idx val="2"/>
          <c:order val="2"/>
          <c:tx>
            <c:v>European Union</c:v>
          </c:tx>
          <c:spPr>
            <a:ln w="28440">
              <a:noFill/>
            </a:ln>
          </c:spPr>
          <c:marker>
            <c:symbol val="circle"/>
            <c:size val="10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'Macro analysis'!$E$10</c:f>
              <c:numCache>
                <c:formatCode>\+0.0;\-0.0;0.0</c:formatCode>
                <c:ptCount val="1"/>
                <c:pt idx="0">
                  <c:v>0.30000000000000004</c:v>
                </c:pt>
              </c:numCache>
            </c:numRef>
          </c:xVal>
          <c:yVal>
            <c:numRef>
              <c:f>'Macro analysis'!$H$10</c:f>
              <c:numCache>
                <c:formatCode>\+0.0;\-0.0;0.0</c:formatCode>
                <c:ptCount val="1"/>
                <c:pt idx="0">
                  <c:v>-1.4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DD3-45C7-BD64-8363A094B235}"/>
            </c:ext>
          </c:extLst>
        </c:ser>
        <c:ser>
          <c:idx val="3"/>
          <c:order val="3"/>
          <c:tx>
            <c:v>Emerging economies</c:v>
          </c:tx>
          <c:spPr>
            <a:ln w="28440">
              <a:noFill/>
            </a:ln>
          </c:spPr>
          <c:marker>
            <c:symbol val="circle"/>
            <c:size val="10"/>
            <c:spPr>
              <a:solidFill>
                <a:srgbClr val="70AD4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'Macro analysis'!$E$11</c:f>
              <c:numCache>
                <c:formatCode>\+0.0;\-0.0;0.0</c:formatCode>
                <c:ptCount val="1"/>
                <c:pt idx="0">
                  <c:v>0.50000000000000044</c:v>
                </c:pt>
              </c:numCache>
            </c:numRef>
          </c:xVal>
          <c:yVal>
            <c:numRef>
              <c:f>'Macro analysis'!$H$11</c:f>
              <c:numCache>
                <c:formatCode>\+0.0;\-0.0;0.0</c:formatCode>
                <c:ptCount val="1"/>
                <c:pt idx="0">
                  <c:v>-0.70000000000000018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DD3-45C7-BD64-8363A094B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79785"/>
        <c:axId val="16687145"/>
      </c:scatterChart>
      <c:valAx>
        <c:axId val="30779785"/>
        <c:scaling>
          <c:orientation val="minMax"/>
          <c:max val="1"/>
          <c:min val="-1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l-GR" sz="1000" b="1" strike="noStrike" spc="-1">
                    <a:solidFill>
                      <a:srgbClr val="000000"/>
                    </a:solidFill>
                    <a:latin typeface="Calibri"/>
                  </a:rPr>
                  <a:t>Δ </a:t>
                </a:r>
                <a:r>
                  <a:rPr lang="it-IT" sz="1000" b="1" strike="noStrike" spc="-1">
                    <a:solidFill>
                      <a:srgbClr val="000000"/>
                    </a:solidFill>
                    <a:latin typeface="Calibri"/>
                  </a:rPr>
                  <a:t>real GDP growth (pp)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t-IT"/>
          </a:p>
        </c:txPr>
        <c:crossAx val="16687145"/>
        <c:crosses val="autoZero"/>
        <c:crossBetween val="midCat"/>
      </c:valAx>
      <c:valAx>
        <c:axId val="16687145"/>
        <c:scaling>
          <c:orientation val="minMax"/>
          <c:max val="1"/>
          <c:min val="-2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l-GR" sz="1000" b="1" strike="noStrike" spc="-1">
                    <a:solidFill>
                      <a:srgbClr val="000000"/>
                    </a:solidFill>
                    <a:latin typeface="Calibri"/>
                  </a:rPr>
                  <a:t>Δ </a:t>
                </a:r>
                <a:r>
                  <a:rPr lang="it-IT" sz="1000" b="1" strike="noStrike" spc="-1">
                    <a:solidFill>
                      <a:srgbClr val="000000"/>
                    </a:solidFill>
                    <a:latin typeface="Calibri"/>
                  </a:rPr>
                  <a:t>CPI inflation (pp)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t-IT"/>
          </a:p>
        </c:txPr>
        <c:crossAx val="30779785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it-I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it-IT" sz="1800" b="1" strike="noStrike" spc="-1">
                <a:solidFill>
                  <a:srgbClr val="000000"/>
                </a:solidFill>
                <a:latin typeface="Calibri"/>
              </a:rPr>
              <a:t>Fed policy path priced by the market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WIRP!$F$10</c:f>
              <c:strCache>
                <c:ptCount val="1"/>
                <c:pt idx="0">
                  <c:v>Implied overnight rate (%)</c:v>
                </c:pt>
              </c:strCache>
            </c:strRef>
          </c:tx>
          <c:spPr>
            <a:ln w="3168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WIRP!$B$11:$B$21</c:f>
              <c:numCache>
                <c:formatCode>dd\ mmm\ yy</c:formatCode>
                <c:ptCount val="11"/>
                <c:pt idx="0">
                  <c:v>46323</c:v>
                </c:pt>
                <c:pt idx="1">
                  <c:v>46365</c:v>
                </c:pt>
                <c:pt idx="2">
                  <c:v>46414</c:v>
                </c:pt>
                <c:pt idx="3">
                  <c:v>46463</c:v>
                </c:pt>
                <c:pt idx="4">
                  <c:v>46505</c:v>
                </c:pt>
                <c:pt idx="5">
                  <c:v>46547</c:v>
                </c:pt>
                <c:pt idx="6">
                  <c:v>46596</c:v>
                </c:pt>
                <c:pt idx="7">
                  <c:v>46645</c:v>
                </c:pt>
                <c:pt idx="8">
                  <c:v>46687</c:v>
                </c:pt>
                <c:pt idx="9">
                  <c:v>46729</c:v>
                </c:pt>
                <c:pt idx="10">
                  <c:v>46778</c:v>
                </c:pt>
              </c:numCache>
            </c:numRef>
          </c:cat>
          <c:val>
            <c:numRef>
              <c:f>WIRP!$F$11:$F$21</c:f>
              <c:numCache>
                <c:formatCode>0.00</c:formatCode>
                <c:ptCount val="11"/>
                <c:pt idx="0">
                  <c:v>3.9319999999999999</c:v>
                </c:pt>
                <c:pt idx="1">
                  <c:v>4.1500000000000004</c:v>
                </c:pt>
                <c:pt idx="2">
                  <c:v>4.2530000000000001</c:v>
                </c:pt>
                <c:pt idx="3">
                  <c:v>4.4379999999999997</c:v>
                </c:pt>
                <c:pt idx="4">
                  <c:v>4.5369999999999999</c:v>
                </c:pt>
                <c:pt idx="5">
                  <c:v>4.6420000000000003</c:v>
                </c:pt>
                <c:pt idx="6">
                  <c:v>4.6820000000000004</c:v>
                </c:pt>
                <c:pt idx="7">
                  <c:v>4.7220000000000004</c:v>
                </c:pt>
                <c:pt idx="8">
                  <c:v>4.7300000000000004</c:v>
                </c:pt>
                <c:pt idx="9">
                  <c:v>4.72</c:v>
                </c:pt>
                <c:pt idx="10">
                  <c:v>4.7149999999999999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1A-4C4C-BB9B-915556492D28}"/>
            </c:ext>
          </c:extLst>
        </c:ser>
        <c:ser>
          <c:idx val="1"/>
          <c:order val="1"/>
          <c:tx>
            <c:strRef>
              <c:f>WIRP!$H$10</c:f>
              <c:strCache>
                <c:ptCount val="1"/>
                <c:pt idx="0">
                  <c:v>Effective rate today (%)</c:v>
                </c:pt>
              </c:strCache>
            </c:strRef>
          </c:tx>
          <c:spPr>
            <a:ln w="2844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WIRP!$B$11:$B$21</c:f>
              <c:numCache>
                <c:formatCode>dd\ mmm\ yy</c:formatCode>
                <c:ptCount val="11"/>
                <c:pt idx="0">
                  <c:v>46323</c:v>
                </c:pt>
                <c:pt idx="1">
                  <c:v>46365</c:v>
                </c:pt>
                <c:pt idx="2">
                  <c:v>46414</c:v>
                </c:pt>
                <c:pt idx="3">
                  <c:v>46463</c:v>
                </c:pt>
                <c:pt idx="4">
                  <c:v>46505</c:v>
                </c:pt>
                <c:pt idx="5">
                  <c:v>46547</c:v>
                </c:pt>
                <c:pt idx="6">
                  <c:v>46596</c:v>
                </c:pt>
                <c:pt idx="7">
                  <c:v>46645</c:v>
                </c:pt>
                <c:pt idx="8">
                  <c:v>46687</c:v>
                </c:pt>
                <c:pt idx="9">
                  <c:v>46729</c:v>
                </c:pt>
                <c:pt idx="10">
                  <c:v>46778</c:v>
                </c:pt>
              </c:numCache>
            </c:numRef>
          </c:cat>
          <c:val>
            <c:numRef>
              <c:f>WIRP!$H$11:$H$21</c:f>
              <c:numCache>
                <c:formatCode>0.00</c:formatCode>
                <c:ptCount val="11"/>
                <c:pt idx="0">
                  <c:v>3.88</c:v>
                </c:pt>
                <c:pt idx="1">
                  <c:v>3.88</c:v>
                </c:pt>
                <c:pt idx="2">
                  <c:v>3.88</c:v>
                </c:pt>
                <c:pt idx="3">
                  <c:v>3.88</c:v>
                </c:pt>
                <c:pt idx="4">
                  <c:v>3.88</c:v>
                </c:pt>
                <c:pt idx="5">
                  <c:v>3.88</c:v>
                </c:pt>
                <c:pt idx="6">
                  <c:v>3.88</c:v>
                </c:pt>
                <c:pt idx="7">
                  <c:v>3.88</c:v>
                </c:pt>
                <c:pt idx="8">
                  <c:v>3.88</c:v>
                </c:pt>
                <c:pt idx="9">
                  <c:v>3.88</c:v>
                </c:pt>
                <c:pt idx="10">
                  <c:v>3.88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1A-4C4C-BB9B-915556492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9007066"/>
        <c:axId val="20370285"/>
      </c:lineChart>
      <c:dateAx>
        <c:axId val="99007066"/>
        <c:scaling>
          <c:orientation val="minMax"/>
        </c:scaling>
        <c:delete val="0"/>
        <c:axPos val="b"/>
        <c:numFmt formatCode="mmm\ 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t-IT"/>
          </a:p>
        </c:txPr>
        <c:crossAx val="20370285"/>
        <c:crosses val="autoZero"/>
        <c:auto val="1"/>
        <c:lblOffset val="100"/>
        <c:baseTimeUnit val="months"/>
      </c:dateAx>
      <c:valAx>
        <c:axId val="20370285"/>
        <c:scaling>
          <c:orientation val="minMax"/>
          <c:max val="4.9000000000000004"/>
          <c:min val="3.7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it-IT" sz="1000" b="1" strike="noStrike" spc="-1">
                    <a:solidFill>
                      <a:srgbClr val="000000"/>
                    </a:solidFill>
                    <a:latin typeface="Calibri"/>
                  </a:rPr>
                  <a:t>Fed funds rate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t-IT"/>
          </a:p>
        </c:txPr>
        <c:crossAx val="9900706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it-I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it-IT" sz="1800" b="1" strike="noStrike" spc="-1">
                <a:solidFill>
                  <a:srgbClr val="000000"/>
                </a:solidFill>
                <a:latin typeface="Calibri"/>
              </a:rPr>
              <a:t>Net</a:t>
            </a:r>
            <a:r>
              <a:rPr lang="it-IT" sz="1800" b="1" strike="noStrike" spc="-1" baseline="0">
                <a:solidFill>
                  <a:srgbClr val="000000"/>
                </a:solidFill>
                <a:latin typeface="Calibri"/>
              </a:rPr>
              <a:t> probability</a:t>
            </a:r>
            <a:r>
              <a:rPr lang="it-IT" sz="1800" b="1" strike="noStrike" spc="-1">
                <a:solidFill>
                  <a:srgbClr val="000000"/>
                </a:solidFill>
                <a:latin typeface="Calibri"/>
              </a:rPr>
              <a:t> of a</a:t>
            </a:r>
            <a:r>
              <a:rPr lang="it-IT" sz="1800" b="1" strike="noStrike" spc="-1" baseline="0">
                <a:solidFill>
                  <a:srgbClr val="000000"/>
                </a:solidFill>
                <a:latin typeface="Calibri"/>
              </a:rPr>
              <a:t> hike (vs cut) </a:t>
            </a:r>
            <a:r>
              <a:rPr lang="it-IT" sz="1800" b="1" strike="noStrike" spc="-1">
                <a:solidFill>
                  <a:srgbClr val="000000"/>
                </a:solidFill>
                <a:latin typeface="Calibri"/>
              </a:rPr>
              <a:t>at each meeting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WIRP!$C$10</c:f>
              <c:strCache>
                <c:ptCount val="1"/>
                <c:pt idx="0">
                  <c:v>Net implied probability of a 25bps hike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it-I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WIRP!$B$11:$B$21</c:f>
              <c:numCache>
                <c:formatCode>dd\ mmm\ yy</c:formatCode>
                <c:ptCount val="11"/>
                <c:pt idx="0">
                  <c:v>46323</c:v>
                </c:pt>
                <c:pt idx="1">
                  <c:v>46365</c:v>
                </c:pt>
                <c:pt idx="2">
                  <c:v>46414</c:v>
                </c:pt>
                <c:pt idx="3">
                  <c:v>46463</c:v>
                </c:pt>
                <c:pt idx="4">
                  <c:v>46505</c:v>
                </c:pt>
                <c:pt idx="5">
                  <c:v>46547</c:v>
                </c:pt>
                <c:pt idx="6">
                  <c:v>46596</c:v>
                </c:pt>
                <c:pt idx="7">
                  <c:v>46645</c:v>
                </c:pt>
                <c:pt idx="8">
                  <c:v>46687</c:v>
                </c:pt>
                <c:pt idx="9">
                  <c:v>46729</c:v>
                </c:pt>
                <c:pt idx="10">
                  <c:v>46778</c:v>
                </c:pt>
              </c:numCache>
            </c:numRef>
          </c:cat>
          <c:val>
            <c:numRef>
              <c:f>WIRP!$C$11:$C$21</c:f>
              <c:numCache>
                <c:formatCode>0%</c:formatCode>
                <c:ptCount val="11"/>
                <c:pt idx="0">
                  <c:v>0.22</c:v>
                </c:pt>
                <c:pt idx="1">
                  <c:v>0.86</c:v>
                </c:pt>
                <c:pt idx="2">
                  <c:v>0.42</c:v>
                </c:pt>
                <c:pt idx="3">
                  <c:v>0.72</c:v>
                </c:pt>
                <c:pt idx="4">
                  <c:v>0.4</c:v>
                </c:pt>
                <c:pt idx="5">
                  <c:v>0.43</c:v>
                </c:pt>
                <c:pt idx="6">
                  <c:v>0.15</c:v>
                </c:pt>
                <c:pt idx="7">
                  <c:v>0.16</c:v>
                </c:pt>
                <c:pt idx="8">
                  <c:v>0.04</c:v>
                </c:pt>
                <c:pt idx="9">
                  <c:v>-0.04</c:v>
                </c:pt>
                <c:pt idx="10">
                  <c:v>-0.02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8E-4BA1-9BF3-3F52130D25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171676"/>
        <c:axId val="39540768"/>
      </c:barChart>
      <c:dateAx>
        <c:axId val="73171676"/>
        <c:scaling>
          <c:orientation val="minMax"/>
        </c:scaling>
        <c:delete val="0"/>
        <c:axPos val="b"/>
        <c:numFmt formatCode="mmm\ yy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t-IT"/>
          </a:p>
        </c:txPr>
        <c:crossAx val="39540768"/>
        <c:crosses val="autoZero"/>
        <c:auto val="1"/>
        <c:lblOffset val="100"/>
        <c:baseTimeUnit val="months"/>
      </c:dateAx>
      <c:valAx>
        <c:axId val="39540768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t-IT"/>
          </a:p>
        </c:txPr>
        <c:crossAx val="731716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it-IT" sz="1800" b="1" strike="noStrike" spc="-1">
                <a:solidFill>
                  <a:srgbClr val="000000"/>
                </a:solidFill>
                <a:latin typeface="Calibri"/>
              </a:rPr>
              <a:t>US Treasury yield curve: today vs one year ago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'Yield curve'!$C$4</c:f>
              <c:strCache>
                <c:ptCount val="1"/>
                <c:pt idx="0">
                  <c:v>9 Oct 2026</c:v>
                </c:pt>
              </c:strCache>
            </c:strRef>
          </c:tx>
          <c:spPr>
            <a:ln w="3168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'Yield curve'!$B$5:$B$15</c:f>
              <c:strCache>
                <c:ptCount val="11"/>
                <c:pt idx="0">
                  <c:v>1M</c:v>
                </c:pt>
                <c:pt idx="1">
                  <c:v>3M</c:v>
                </c:pt>
                <c:pt idx="2">
                  <c:v>6M</c:v>
                </c:pt>
                <c:pt idx="3">
                  <c:v>1Y</c:v>
                </c:pt>
                <c:pt idx="4">
                  <c:v>2Y</c:v>
                </c:pt>
                <c:pt idx="5">
                  <c:v>3Y</c:v>
                </c:pt>
                <c:pt idx="6">
                  <c:v>5Y</c:v>
                </c:pt>
                <c:pt idx="7">
                  <c:v>7Y</c:v>
                </c:pt>
                <c:pt idx="8">
                  <c:v>10Y</c:v>
                </c:pt>
                <c:pt idx="9">
                  <c:v>20Y</c:v>
                </c:pt>
                <c:pt idx="10">
                  <c:v>30Y</c:v>
                </c:pt>
              </c:strCache>
            </c:strRef>
          </c:cat>
          <c:val>
            <c:numRef>
              <c:f>'Yield curve'!$C$5:$C$15</c:f>
              <c:numCache>
                <c:formatCode>0.00%</c:formatCode>
                <c:ptCount val="11"/>
                <c:pt idx="0">
                  <c:v>4.1300000000000003E-2</c:v>
                </c:pt>
                <c:pt idx="1">
                  <c:v>4.2500000000000003E-2</c:v>
                </c:pt>
                <c:pt idx="2">
                  <c:v>4.3200000000000002E-2</c:v>
                </c:pt>
                <c:pt idx="3">
                  <c:v>4.4699999999999997E-2</c:v>
                </c:pt>
                <c:pt idx="4">
                  <c:v>4.8000000000000001E-2</c:v>
                </c:pt>
                <c:pt idx="5">
                  <c:v>4.8899999999999999E-2</c:v>
                </c:pt>
                <c:pt idx="6">
                  <c:v>5.0200000000000002E-2</c:v>
                </c:pt>
                <c:pt idx="7">
                  <c:v>5.1299999999999998E-2</c:v>
                </c:pt>
                <c:pt idx="8">
                  <c:v>5.2400000000000002E-2</c:v>
                </c:pt>
                <c:pt idx="9">
                  <c:v>5.6500000000000002E-2</c:v>
                </c:pt>
                <c:pt idx="10">
                  <c:v>5.6000000000000001E-2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4A-4DD3-9C24-D167723BFF0C}"/>
            </c:ext>
          </c:extLst>
        </c:ser>
        <c:ser>
          <c:idx val="1"/>
          <c:order val="1"/>
          <c:tx>
            <c:strRef>
              <c:f>'Yield curve'!$D$4</c:f>
              <c:strCache>
                <c:ptCount val="1"/>
                <c:pt idx="0">
                  <c:v>9 Oct 2025</c:v>
                </c:pt>
              </c:strCache>
            </c:strRef>
          </c:tx>
          <c:spPr>
            <a:ln w="22320">
              <a:solidFill>
                <a:srgbClr val="A6A6A6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'Yield curve'!$B$5:$B$15</c:f>
              <c:strCache>
                <c:ptCount val="11"/>
                <c:pt idx="0">
                  <c:v>1M</c:v>
                </c:pt>
                <c:pt idx="1">
                  <c:v>3M</c:v>
                </c:pt>
                <c:pt idx="2">
                  <c:v>6M</c:v>
                </c:pt>
                <c:pt idx="3">
                  <c:v>1Y</c:v>
                </c:pt>
                <c:pt idx="4">
                  <c:v>2Y</c:v>
                </c:pt>
                <c:pt idx="5">
                  <c:v>3Y</c:v>
                </c:pt>
                <c:pt idx="6">
                  <c:v>5Y</c:v>
                </c:pt>
                <c:pt idx="7">
                  <c:v>7Y</c:v>
                </c:pt>
                <c:pt idx="8">
                  <c:v>10Y</c:v>
                </c:pt>
                <c:pt idx="9">
                  <c:v>20Y</c:v>
                </c:pt>
                <c:pt idx="10">
                  <c:v>30Y</c:v>
                </c:pt>
              </c:strCache>
            </c:strRef>
          </c:cat>
          <c:val>
            <c:numRef>
              <c:f>'Yield curve'!$D$5:$D$15</c:f>
              <c:numCache>
                <c:formatCode>0.00%</c:formatCode>
                <c:ptCount val="11"/>
                <c:pt idx="0">
                  <c:v>4.2000000000000003E-2</c:v>
                </c:pt>
                <c:pt idx="1">
                  <c:v>4.0300000000000002E-2</c:v>
                </c:pt>
                <c:pt idx="2">
                  <c:v>3.8300000000000001E-2</c:v>
                </c:pt>
                <c:pt idx="3">
                  <c:v>3.6600000000000001E-2</c:v>
                </c:pt>
                <c:pt idx="4">
                  <c:v>3.5999999999999997E-2</c:v>
                </c:pt>
                <c:pt idx="5">
                  <c:v>3.5900000000000001E-2</c:v>
                </c:pt>
                <c:pt idx="6">
                  <c:v>3.7400000000000003E-2</c:v>
                </c:pt>
                <c:pt idx="7">
                  <c:v>3.9199999999999999E-2</c:v>
                </c:pt>
                <c:pt idx="8">
                  <c:v>4.1399999999999999E-2</c:v>
                </c:pt>
                <c:pt idx="9">
                  <c:v>4.7E-2</c:v>
                </c:pt>
                <c:pt idx="10">
                  <c:v>4.7199999999999999E-2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4A-4DD3-9C24-D167723BF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2386188"/>
        <c:axId val="6022415"/>
      </c:lineChart>
      <c:catAx>
        <c:axId val="723861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it-IT" sz="1000" b="1" strike="noStrike" spc="-1">
                    <a:solidFill>
                      <a:srgbClr val="000000"/>
                    </a:solidFill>
                    <a:latin typeface="Calibri"/>
                  </a:rPr>
                  <a:t>Maturity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t-IT"/>
          </a:p>
        </c:txPr>
        <c:crossAx val="6022415"/>
        <c:crosses val="autoZero"/>
        <c:auto val="1"/>
        <c:lblAlgn val="ctr"/>
        <c:lblOffset val="100"/>
        <c:noMultiLvlLbl val="0"/>
      </c:catAx>
      <c:valAx>
        <c:axId val="6022415"/>
        <c:scaling>
          <c:orientation val="minMax"/>
          <c:max val="0.06"/>
          <c:min val="0.03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it-IT" sz="1000" b="1" strike="noStrike" spc="-1">
                    <a:solidFill>
                      <a:srgbClr val="000000"/>
                    </a:solidFill>
                    <a:latin typeface="Calibri"/>
                  </a:rPr>
                  <a:t>Yield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t-IT"/>
          </a:p>
        </c:txPr>
        <c:crossAx val="7238618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it-I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12</xdr:row>
      <xdr:rowOff>78120</xdr:rowOff>
    </xdr:from>
    <xdr:to>
      <xdr:col>19</xdr:col>
      <xdr:colOff>507600</xdr:colOff>
      <xdr:row>21</xdr:row>
      <xdr:rowOff>178920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28</xdr:row>
      <xdr:rowOff>337680</xdr:rowOff>
    </xdr:from>
    <xdr:to>
      <xdr:col>19</xdr:col>
      <xdr:colOff>507600</xdr:colOff>
      <xdr:row>40</xdr:row>
      <xdr:rowOff>122040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19</xdr:col>
      <xdr:colOff>4680</xdr:colOff>
      <xdr:row>16</xdr:row>
      <xdr:rowOff>88920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567447</xdr:colOff>
      <xdr:row>17</xdr:row>
      <xdr:rowOff>1</xdr:rowOff>
    </xdr:from>
    <xdr:to>
      <xdr:col>18</xdr:col>
      <xdr:colOff>572127</xdr:colOff>
      <xdr:row>26</xdr:row>
      <xdr:rowOff>174128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570423</xdr:colOff>
      <xdr:row>4</xdr:row>
      <xdr:rowOff>-1</xdr:rowOff>
    </xdr:from>
    <xdr:to>
      <xdr:col>20</xdr:col>
      <xdr:colOff>574384</xdr:colOff>
      <xdr:row>21</xdr:row>
      <xdr:rowOff>11842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4"/>
  <sheetViews>
    <sheetView tabSelected="1" zoomScale="46" zoomScaleNormal="100" workbookViewId="0">
      <pane xSplit="1" ySplit="5" topLeftCell="B9" activePane="bottomRight" state="frozen"/>
      <selection pane="topRight" activeCell="B1" sqref="B1"/>
      <selection pane="bottomLeft" activeCell="A6" sqref="A6"/>
      <selection pane="bottomRight"/>
    </sheetView>
  </sheetViews>
  <sheetFormatPr defaultColWidth="8.6328125" defaultRowHeight="14.5" x14ac:dyDescent="0.35"/>
  <cols>
    <col min="1" max="1" width="3" customWidth="1"/>
    <col min="2" max="3" width="30" customWidth="1"/>
    <col min="4" max="4" width="18" customWidth="1"/>
    <col min="5" max="5" width="12" customWidth="1"/>
    <col min="6" max="6" width="10" customWidth="1"/>
    <col min="7" max="7" width="12" customWidth="1"/>
    <col min="8" max="8" width="10" customWidth="1"/>
    <col min="9" max="9" width="12" customWidth="1"/>
    <col min="10" max="10" width="62" customWidth="1"/>
  </cols>
  <sheetData>
    <row r="2" spans="2:10" ht="15.5" x14ac:dyDescent="0.35">
      <c r="B2" s="1" t="s">
        <v>0</v>
      </c>
    </row>
    <row r="3" spans="2:10" x14ac:dyDescent="0.35">
      <c r="B3" s="2" t="s">
        <v>1</v>
      </c>
    </row>
    <row r="5" spans="2:10" x14ac:dyDescent="0.3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</row>
    <row r="6" spans="2:10" x14ac:dyDescent="0.35">
      <c r="B6" s="4" t="s">
        <v>11</v>
      </c>
    </row>
    <row r="7" spans="2:10" x14ac:dyDescent="0.35">
      <c r="B7" s="5" t="s">
        <v>12</v>
      </c>
      <c r="C7" s="5" t="s">
        <v>13</v>
      </c>
      <c r="D7" s="5" t="s">
        <v>14</v>
      </c>
      <c r="E7" s="6">
        <v>46304</v>
      </c>
      <c r="F7" s="7">
        <v>2.33</v>
      </c>
      <c r="G7" s="8" t="s">
        <v>15</v>
      </c>
      <c r="H7" s="8" t="s">
        <v>15</v>
      </c>
      <c r="I7" s="9" t="str">
        <f>IF(ISNUMBER(H7),(F7-H7)*100,"n/a")</f>
        <v>n/a</v>
      </c>
      <c r="J7" s="5" t="s">
        <v>16</v>
      </c>
    </row>
    <row r="8" spans="2:10" x14ac:dyDescent="0.35">
      <c r="B8" s="5" t="s">
        <v>17</v>
      </c>
      <c r="C8" s="5" t="s">
        <v>18</v>
      </c>
      <c r="D8" s="5" t="s">
        <v>14</v>
      </c>
      <c r="E8" s="6">
        <v>46304</v>
      </c>
      <c r="F8" s="7">
        <v>2.34</v>
      </c>
      <c r="G8" s="8" t="s">
        <v>15</v>
      </c>
      <c r="H8" s="8" t="s">
        <v>15</v>
      </c>
      <c r="I8" s="9" t="str">
        <f>IF(ISNUMBER(H8),(F8-H8)*100,"n/a")</f>
        <v>n/a</v>
      </c>
      <c r="J8" s="5" t="s">
        <v>19</v>
      </c>
    </row>
    <row r="9" spans="2:10" x14ac:dyDescent="0.35">
      <c r="B9" s="5" t="s">
        <v>20</v>
      </c>
      <c r="C9" s="5" t="s">
        <v>21</v>
      </c>
      <c r="D9" s="5" t="s">
        <v>14</v>
      </c>
      <c r="E9" s="6">
        <v>46303</v>
      </c>
      <c r="F9" s="7">
        <v>2.87</v>
      </c>
      <c r="G9" s="8" t="s">
        <v>15</v>
      </c>
      <c r="H9" s="8" t="s">
        <v>15</v>
      </c>
      <c r="I9" s="9" t="str">
        <f>IF(ISNUMBER(H9),(F9-H9)*100,"n/a")</f>
        <v>n/a</v>
      </c>
      <c r="J9" s="5" t="s">
        <v>22</v>
      </c>
    </row>
    <row r="10" spans="2:10" x14ac:dyDescent="0.35">
      <c r="B10" s="4" t="s">
        <v>23</v>
      </c>
    </row>
    <row r="11" spans="2:10" x14ac:dyDescent="0.35">
      <c r="B11" s="5" t="s">
        <v>24</v>
      </c>
      <c r="C11" s="5" t="s">
        <v>25</v>
      </c>
      <c r="D11" s="5" t="s">
        <v>14</v>
      </c>
      <c r="E11" s="6">
        <v>46304</v>
      </c>
      <c r="F11" s="7">
        <v>4.8</v>
      </c>
      <c r="G11" s="6">
        <v>45939</v>
      </c>
      <c r="H11" s="7">
        <v>3.6</v>
      </c>
      <c r="I11" s="9">
        <f>IF(ISNUMBER(H11),(F11-H11)*100,"n/a")</f>
        <v>119.99999999999997</v>
      </c>
      <c r="J11" s="5" t="s">
        <v>26</v>
      </c>
    </row>
    <row r="12" spans="2:10" x14ac:dyDescent="0.35">
      <c r="B12" s="5" t="s">
        <v>27</v>
      </c>
      <c r="C12" s="5" t="s">
        <v>25</v>
      </c>
      <c r="D12" s="5" t="s">
        <v>14</v>
      </c>
      <c r="E12" s="6">
        <v>46304</v>
      </c>
      <c r="F12" s="7">
        <v>5.24</v>
      </c>
      <c r="G12" s="6">
        <v>45939</v>
      </c>
      <c r="H12" s="7">
        <v>4.1399999999999997</v>
      </c>
      <c r="I12" s="9">
        <f>IF(ISNUMBER(H12),(F12-H12)*100,"n/a")</f>
        <v>110.00000000000006</v>
      </c>
      <c r="J12" s="5" t="s">
        <v>28</v>
      </c>
    </row>
    <row r="13" spans="2:10" x14ac:dyDescent="0.35">
      <c r="B13" s="5" t="s">
        <v>29</v>
      </c>
      <c r="C13" s="5" t="s">
        <v>25</v>
      </c>
      <c r="D13" s="5" t="s">
        <v>14</v>
      </c>
      <c r="E13" s="6">
        <v>46304</v>
      </c>
      <c r="F13" s="7">
        <v>5.6</v>
      </c>
      <c r="G13" s="6">
        <v>45939</v>
      </c>
      <c r="H13" s="7">
        <v>4.72</v>
      </c>
      <c r="I13" s="9">
        <f>IF(ISNUMBER(H13),(F13-H13)*100,"n/a")</f>
        <v>87.999999999999986</v>
      </c>
      <c r="J13" s="5" t="s">
        <v>30</v>
      </c>
    </row>
    <row r="14" spans="2:10" x14ac:dyDescent="0.35">
      <c r="B14" s="5" t="s">
        <v>31</v>
      </c>
      <c r="C14" s="5" t="s">
        <v>32</v>
      </c>
      <c r="D14" s="5" t="s">
        <v>14</v>
      </c>
      <c r="E14" s="6">
        <f>E12</f>
        <v>46304</v>
      </c>
      <c r="F14" s="7">
        <f>F12-F11</f>
        <v>0.44000000000000039</v>
      </c>
      <c r="G14" s="6">
        <f>G12</f>
        <v>45939</v>
      </c>
      <c r="H14" s="7">
        <f>H12-H11</f>
        <v>0.53999999999999959</v>
      </c>
      <c r="I14" s="9">
        <f>IF(ISNUMBER(H14),(F14-H14)*100,"n/a")</f>
        <v>-9.9999999999999201</v>
      </c>
      <c r="J14" s="5" t="s">
        <v>33</v>
      </c>
    </row>
    <row r="15" spans="2:10" x14ac:dyDescent="0.35">
      <c r="B15" s="4" t="s">
        <v>34</v>
      </c>
    </row>
    <row r="16" spans="2:10" x14ac:dyDescent="0.35">
      <c r="B16" s="5" t="s">
        <v>35</v>
      </c>
      <c r="C16" s="5" t="s">
        <v>36</v>
      </c>
      <c r="D16" s="5" t="s">
        <v>14</v>
      </c>
      <c r="E16" s="6">
        <v>46303</v>
      </c>
      <c r="F16" s="7">
        <v>0.82</v>
      </c>
      <c r="G16" s="6">
        <v>45938</v>
      </c>
      <c r="H16" s="7">
        <v>0.75</v>
      </c>
      <c r="I16" s="9">
        <f>IF(ISNUMBER(H16),(F16-H16)*100,"n/a")</f>
        <v>6.9999999999999947</v>
      </c>
      <c r="J16" s="5" t="s">
        <v>37</v>
      </c>
    </row>
    <row r="17" spans="2:10" x14ac:dyDescent="0.35">
      <c r="B17" s="5" t="s">
        <v>38</v>
      </c>
      <c r="C17" s="5" t="s">
        <v>39</v>
      </c>
      <c r="D17" s="5" t="s">
        <v>14</v>
      </c>
      <c r="E17" s="6">
        <v>46303</v>
      </c>
      <c r="F17" s="7">
        <v>3.15</v>
      </c>
      <c r="G17" s="6">
        <v>45938</v>
      </c>
      <c r="H17" s="7">
        <v>2.84</v>
      </c>
      <c r="I17" s="9">
        <f>IF(ISNUMBER(H17),(F17-H17)*100,"n/a")</f>
        <v>31.000000000000007</v>
      </c>
      <c r="J17" s="5" t="s">
        <v>40</v>
      </c>
    </row>
    <row r="18" spans="2:10" x14ac:dyDescent="0.35">
      <c r="B18" s="4" t="s">
        <v>41</v>
      </c>
    </row>
    <row r="19" spans="2:10" x14ac:dyDescent="0.35">
      <c r="B19" s="5" t="s">
        <v>42</v>
      </c>
      <c r="C19" s="5" t="s">
        <v>43</v>
      </c>
      <c r="D19" s="5" t="s">
        <v>44</v>
      </c>
      <c r="E19" s="6">
        <v>46303</v>
      </c>
      <c r="F19" s="7">
        <v>15.41</v>
      </c>
      <c r="G19" s="8" t="s">
        <v>15</v>
      </c>
      <c r="H19" s="8" t="s">
        <v>15</v>
      </c>
      <c r="I19" s="8" t="s">
        <v>15</v>
      </c>
      <c r="J19" s="5" t="s">
        <v>45</v>
      </c>
    </row>
    <row r="20" spans="2:10" x14ac:dyDescent="0.35">
      <c r="B20" s="5" t="s">
        <v>46</v>
      </c>
      <c r="C20" s="5" t="s">
        <v>47</v>
      </c>
      <c r="D20" s="5" t="s">
        <v>48</v>
      </c>
      <c r="E20" s="6">
        <v>46297</v>
      </c>
      <c r="F20" s="7">
        <v>121.3848</v>
      </c>
      <c r="G20" s="8" t="s">
        <v>15</v>
      </c>
      <c r="H20" s="8" t="s">
        <v>15</v>
      </c>
      <c r="I20" s="8" t="s">
        <v>15</v>
      </c>
      <c r="J20" s="5" t="s">
        <v>49</v>
      </c>
    </row>
    <row r="22" spans="2:10" x14ac:dyDescent="0.35">
      <c r="B22" s="2" t="s">
        <v>50</v>
      </c>
    </row>
    <row r="23" spans="2:10" x14ac:dyDescent="0.35">
      <c r="B23" s="2" t="s">
        <v>51</v>
      </c>
    </row>
    <row r="24" spans="2:10" x14ac:dyDescent="0.35">
      <c r="B24" s="2" t="s">
        <v>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47"/>
  <sheetViews>
    <sheetView topLeftCell="E31" zoomScale="67" zoomScaleNormal="96" workbookViewId="0">
      <selection activeCell="L53" sqref="L53"/>
    </sheetView>
  </sheetViews>
  <sheetFormatPr defaultColWidth="8.6328125" defaultRowHeight="14.5" x14ac:dyDescent="0.35"/>
  <cols>
    <col min="1" max="1" width="3" customWidth="1"/>
    <col min="2" max="2" width="34" customWidth="1"/>
    <col min="3" max="3" width="15" customWidth="1"/>
    <col min="4" max="4" width="22" customWidth="1"/>
    <col min="5" max="5" width="14" customWidth="1"/>
    <col min="6" max="6" width="24" customWidth="1"/>
    <col min="7" max="7" width="14" customWidth="1"/>
    <col min="8" max="8" width="70" customWidth="1"/>
    <col min="9" max="9" width="22" customWidth="1"/>
    <col min="10" max="10" width="24" customWidth="1"/>
  </cols>
  <sheetData>
    <row r="2" spans="2:15" ht="15.5" x14ac:dyDescent="0.35">
      <c r="B2" s="1" t="s">
        <v>53</v>
      </c>
    </row>
    <row r="3" spans="2:15" x14ac:dyDescent="0.35">
      <c r="B3" s="2" t="s">
        <v>210</v>
      </c>
    </row>
    <row r="4" spans="2:15" x14ac:dyDescent="0.35">
      <c r="L4" s="10" t="s">
        <v>54</v>
      </c>
    </row>
    <row r="5" spans="2:15" x14ac:dyDescent="0.35">
      <c r="B5" s="11" t="s">
        <v>55</v>
      </c>
      <c r="L5" s="10" t="s">
        <v>56</v>
      </c>
      <c r="M5" s="10" t="s">
        <v>57</v>
      </c>
      <c r="N5" s="10" t="s">
        <v>58</v>
      </c>
      <c r="O5" s="10" t="s">
        <v>59</v>
      </c>
    </row>
    <row r="6" spans="2:15" x14ac:dyDescent="0.35">
      <c r="B6" s="2" t="s">
        <v>60</v>
      </c>
      <c r="L6" s="12" t="s">
        <v>61</v>
      </c>
      <c r="M6" s="13">
        <f>'ECFC data'!$G$17</f>
        <v>3.5</v>
      </c>
      <c r="N6" s="13">
        <f>'ECFC data'!$G$19</f>
        <v>3.3</v>
      </c>
      <c r="O6" s="14">
        <f>'Market indicators'!$F$8</f>
        <v>2.34</v>
      </c>
    </row>
    <row r="7" spans="2:15" ht="26.5" x14ac:dyDescent="0.35">
      <c r="B7" s="3" t="s">
        <v>62</v>
      </c>
      <c r="C7" s="3" t="s">
        <v>63</v>
      </c>
      <c r="D7" s="3" t="s">
        <v>64</v>
      </c>
      <c r="E7" s="3" t="s">
        <v>65</v>
      </c>
      <c r="F7" s="3" t="s">
        <v>66</v>
      </c>
      <c r="G7" s="3" t="s">
        <v>67</v>
      </c>
      <c r="H7" s="3" t="s">
        <v>68</v>
      </c>
      <c r="I7" s="3" t="s">
        <v>69</v>
      </c>
      <c r="J7" s="3" t="s">
        <v>70</v>
      </c>
      <c r="L7" s="12" t="s">
        <v>71</v>
      </c>
      <c r="M7" s="13">
        <f>'ECFC data'!$H$17</f>
        <v>3.2</v>
      </c>
      <c r="N7" s="13">
        <f>'ECFC data'!$H$19</f>
        <v>2.8</v>
      </c>
      <c r="O7" s="14">
        <f>'Market indicators'!$F$8</f>
        <v>2.34</v>
      </c>
    </row>
    <row r="8" spans="2:15" x14ac:dyDescent="0.35">
      <c r="B8" s="5" t="s">
        <v>72</v>
      </c>
      <c r="C8" s="15">
        <f>'ECFC data'!$G$8</f>
        <v>2.1</v>
      </c>
      <c r="D8" s="15">
        <f>'ECFC data'!$K$8</f>
        <v>2.1</v>
      </c>
      <c r="E8" s="16">
        <f>D8-C8</f>
        <v>0</v>
      </c>
      <c r="F8" s="15">
        <f>'ECFC data'!$G$17</f>
        <v>3.5</v>
      </c>
      <c r="G8" s="15">
        <f>'ECFC data'!$K$17</f>
        <v>2.1</v>
      </c>
      <c r="H8" s="16">
        <f>G8-F8</f>
        <v>-1.4</v>
      </c>
      <c r="I8" s="8" t="str">
        <f>IF(AND(E8&gt;=0,H8&gt;=0),"Overheated",IF(E8&gt;=0,"Goldilocks",IF(H8&gt;=0,"Stagflation","Depression")))</f>
        <v>Goldilocks</v>
      </c>
      <c r="J8" s="8" t="str">
        <f>IF(AND(('ECFC data'!$F$8-'ECFC data'!$D$8)&gt;=0,('ECFC data'!$F$17-'ECFC data'!$D$17)&gt;=0),"Overheated",IF(('ECFC data'!$F$8-'ECFC data'!$D$8)&gt;=0,"Goldilocks",IF(('ECFC data'!$F$17-'ECFC data'!$D$17)&gt;=0,"Stagflation","Depression")))</f>
        <v>Stagflation</v>
      </c>
      <c r="L8" s="12" t="s">
        <v>73</v>
      </c>
      <c r="M8" s="13">
        <f>'ECFC data'!$I$17</f>
        <v>2.2000000000000002</v>
      </c>
      <c r="N8" s="13">
        <f>'ECFC data'!$I$19</f>
        <v>2.6</v>
      </c>
      <c r="O8" s="14">
        <f>'Market indicators'!$F$8</f>
        <v>2.34</v>
      </c>
    </row>
    <row r="9" spans="2:15" x14ac:dyDescent="0.35">
      <c r="B9" s="5" t="s">
        <v>74</v>
      </c>
      <c r="C9" s="15">
        <f>'ECFC data'!$G$45</f>
        <v>1.8</v>
      </c>
      <c r="D9" s="15">
        <f>'ECFC data'!$K$45</f>
        <v>1.9</v>
      </c>
      <c r="E9" s="16">
        <f>D9-C9</f>
        <v>9.9999999999999867E-2</v>
      </c>
      <c r="F9" s="15">
        <f>'ECFC data'!$G$46</f>
        <v>3.9</v>
      </c>
      <c r="G9" s="15">
        <f>'ECFC data'!$K$46</f>
        <v>2.5</v>
      </c>
      <c r="H9" s="16">
        <f>G9-F9</f>
        <v>-1.4</v>
      </c>
      <c r="I9" s="8" t="str">
        <f>IF(AND(E9&gt;=0,H9&gt;=0),"Overheated",IF(E9&gt;=0,"Goldilocks",IF(H9&gt;=0,"Stagflation","Depression")))</f>
        <v>Goldilocks</v>
      </c>
      <c r="J9" s="8" t="str">
        <f>IF(AND(('ECFC data'!$F$45-'ECFC data'!$D$45)&gt;=0,('ECFC data'!$F$46-'ECFC data'!$D$46)&gt;=0),"Overheated",IF(('ECFC data'!$F$45-'ECFC data'!$D$45)&gt;=0,"Goldilocks",IF(('ECFC data'!$F$46-'ECFC data'!$D$46)&gt;=0,"Stagflation","Depression")))</f>
        <v>Overheated</v>
      </c>
      <c r="L9" s="12" t="s">
        <v>75</v>
      </c>
      <c r="M9" s="13">
        <f>'ECFC data'!$J$17</f>
        <v>2.4</v>
      </c>
      <c r="N9" s="13">
        <f>'ECFC data'!$J$19</f>
        <v>2.5</v>
      </c>
      <c r="O9" s="14">
        <f>'Market indicators'!$F$8</f>
        <v>2.34</v>
      </c>
    </row>
    <row r="10" spans="2:15" x14ac:dyDescent="0.35">
      <c r="B10" s="5" t="s">
        <v>76</v>
      </c>
      <c r="C10" s="15">
        <f>'ECFC data'!$G$57</f>
        <v>1.3</v>
      </c>
      <c r="D10" s="15">
        <f>'ECFC data'!$K$57</f>
        <v>1.6</v>
      </c>
      <c r="E10" s="16">
        <f>D10-C10</f>
        <v>0.30000000000000004</v>
      </c>
      <c r="F10" s="15">
        <f>'ECFC data'!$G$58</f>
        <v>3.4</v>
      </c>
      <c r="G10" s="15">
        <f>'ECFC data'!$K$58</f>
        <v>2</v>
      </c>
      <c r="H10" s="16">
        <f>G10-F10</f>
        <v>-1.4</v>
      </c>
      <c r="I10" s="8" t="str">
        <f>IF(AND(E10&gt;=0,H10&gt;=0),"Overheated",IF(E10&gt;=0,"Goldilocks",IF(H10&gt;=0,"Stagflation","Depression")))</f>
        <v>Goldilocks</v>
      </c>
      <c r="J10" s="8" t="str">
        <f>IF(AND(('ECFC data'!$F$57-'ECFC data'!$D$57)&gt;=0,('ECFC data'!$F$58-'ECFC data'!$D$58)&gt;=0),"Overheated",IF(('ECFC data'!$F$57-'ECFC data'!$D$57)&gt;=0,"Goldilocks",IF(('ECFC data'!$F$58-'ECFC data'!$D$58)&gt;=0,"Stagflation","Depression")))</f>
        <v>Overheated</v>
      </c>
      <c r="L10" s="12" t="s">
        <v>77</v>
      </c>
      <c r="M10" s="13">
        <f>'ECFC data'!$K$17</f>
        <v>2.1</v>
      </c>
      <c r="N10" s="13">
        <f>'ECFC data'!$K$19</f>
        <v>2.4</v>
      </c>
      <c r="O10" s="14">
        <f>'Market indicators'!$F$8</f>
        <v>2.34</v>
      </c>
    </row>
    <row r="11" spans="2:15" x14ac:dyDescent="0.35">
      <c r="B11" s="5" t="s">
        <v>78</v>
      </c>
      <c r="C11" s="15">
        <f>'ECFC data'!$G$69</f>
        <v>3.9</v>
      </c>
      <c r="D11" s="15">
        <f>'ECFC data'!$K$69</f>
        <v>4.4000000000000004</v>
      </c>
      <c r="E11" s="16">
        <f>D11-C11</f>
        <v>0.50000000000000044</v>
      </c>
      <c r="F11" s="15">
        <f>'ECFC data'!$G$70</f>
        <v>3.6</v>
      </c>
      <c r="G11" s="15">
        <f>'ECFC data'!$K$70</f>
        <v>2.9</v>
      </c>
      <c r="H11" s="16">
        <f>G11-F11</f>
        <v>-0.70000000000000018</v>
      </c>
      <c r="I11" s="8" t="str">
        <f>IF(AND(E11&gt;=0,H11&gt;=0),"Overheated",IF(E11&gt;=0,"Goldilocks",IF(H11&gt;=0,"Stagflation","Depression")))</f>
        <v>Goldilocks</v>
      </c>
      <c r="J11" s="8" t="str">
        <f>IF(AND(('ECFC data'!$F$69-'ECFC data'!$D$69)&gt;=0,('ECFC data'!$F$70-'ECFC data'!$D$70)&gt;=0),"Overheated",IF(('ECFC data'!$F$69-'ECFC data'!$D$69)&gt;=0,"Goldilocks",IF(('ECFC data'!$F$70-'ECFC data'!$D$70)&gt;=0,"Stagflation","Depression")))</f>
        <v>Stagflation</v>
      </c>
      <c r="L11" s="12" t="s">
        <v>79</v>
      </c>
      <c r="M11" s="13">
        <f>'ECFC data'!$L$17</f>
        <v>2.2999999999999998</v>
      </c>
      <c r="N11" s="13">
        <f>'ECFC data'!$L$19</f>
        <v>2.2999999999999998</v>
      </c>
      <c r="O11" s="14">
        <f>'Market indicators'!$F$8</f>
        <v>2.34</v>
      </c>
    </row>
    <row r="14" spans="2:15" x14ac:dyDescent="0.35">
      <c r="B14" s="11" t="s">
        <v>80</v>
      </c>
    </row>
    <row r="15" spans="2:15" ht="39.5" x14ac:dyDescent="0.35">
      <c r="B15" s="3" t="s">
        <v>81</v>
      </c>
      <c r="C15" s="3" t="s">
        <v>82</v>
      </c>
      <c r="D15" s="3" t="s">
        <v>83</v>
      </c>
      <c r="E15" s="3" t="s">
        <v>84</v>
      </c>
      <c r="F15" s="3" t="s">
        <v>85</v>
      </c>
      <c r="G15" s="3" t="s">
        <v>86</v>
      </c>
      <c r="H15" s="3" t="s">
        <v>87</v>
      </c>
    </row>
    <row r="16" spans="2:15" ht="27.75" customHeight="1" x14ac:dyDescent="0.35">
      <c r="B16" s="5" t="s">
        <v>88</v>
      </c>
      <c r="C16" s="7">
        <f>'ECFC data'!$L$35</f>
        <v>3.85</v>
      </c>
      <c r="D16" s="5" t="s">
        <v>79</v>
      </c>
      <c r="E16" s="7">
        <f>WIRP!G21</f>
        <v>4.835</v>
      </c>
      <c r="F16" s="5" t="s">
        <v>89</v>
      </c>
      <c r="G16" s="9">
        <f>(C16-E16)*100</f>
        <v>-98.499999999999986</v>
      </c>
      <c r="H16" s="17" t="s">
        <v>90</v>
      </c>
    </row>
    <row r="17" spans="2:8" ht="27.75" customHeight="1" x14ac:dyDescent="0.35">
      <c r="B17" s="5" t="s">
        <v>24</v>
      </c>
      <c r="C17" s="7">
        <f>'ECFC data'!$K$37</f>
        <v>4.08</v>
      </c>
      <c r="D17" s="5" t="s">
        <v>77</v>
      </c>
      <c r="E17" s="7">
        <f>'Market indicators'!$F$11</f>
        <v>4.8</v>
      </c>
      <c r="F17" s="5" t="s">
        <v>91</v>
      </c>
      <c r="G17" s="9">
        <f>(C17-E17)*100</f>
        <v>-71.999999999999972</v>
      </c>
      <c r="H17" s="17" t="s">
        <v>92</v>
      </c>
    </row>
    <row r="18" spans="2:8" ht="27.75" customHeight="1" x14ac:dyDescent="0.35">
      <c r="B18" s="5" t="s">
        <v>27</v>
      </c>
      <c r="C18" s="7">
        <f>'ECFC data'!$K$38</f>
        <v>4.5999999999999996</v>
      </c>
      <c r="D18" s="5" t="s">
        <v>77</v>
      </c>
      <c r="E18" s="7">
        <f>'Market indicators'!$F$12</f>
        <v>5.24</v>
      </c>
      <c r="F18" s="5" t="s">
        <v>93</v>
      </c>
      <c r="G18" s="9">
        <f>(C18-E18)*100</f>
        <v>-64.000000000000057</v>
      </c>
      <c r="H18" s="17" t="s">
        <v>94</v>
      </c>
    </row>
    <row r="19" spans="2:8" ht="27.75" customHeight="1" x14ac:dyDescent="0.35">
      <c r="B19" s="5" t="s">
        <v>95</v>
      </c>
      <c r="C19" s="7">
        <f>AVERAGE('ECFC data'!$G$17:$J$17)</f>
        <v>2.8250000000000002</v>
      </c>
      <c r="D19" s="5" t="s">
        <v>96</v>
      </c>
      <c r="E19" s="7">
        <f>'Market indicators'!$F$8</f>
        <v>2.34</v>
      </c>
      <c r="F19" s="5" t="s">
        <v>97</v>
      </c>
      <c r="G19" s="9">
        <f>(C19-E19)*100</f>
        <v>48.500000000000028</v>
      </c>
      <c r="H19" s="17" t="s">
        <v>98</v>
      </c>
    </row>
    <row r="20" spans="2:8" ht="27.75" customHeight="1" x14ac:dyDescent="0.35">
      <c r="B20" s="5" t="s">
        <v>99</v>
      </c>
      <c r="C20" s="7">
        <f>'ECFC data'!$L$17</f>
        <v>2.2999999999999998</v>
      </c>
      <c r="D20" s="5" t="s">
        <v>100</v>
      </c>
      <c r="E20" s="7">
        <f>'Market indicators'!$F$8</f>
        <v>2.34</v>
      </c>
      <c r="F20" s="5" t="s">
        <v>97</v>
      </c>
      <c r="G20" s="9">
        <f>(C20-E20)*100</f>
        <v>-4.0000000000000036</v>
      </c>
      <c r="H20" s="17" t="s">
        <v>101</v>
      </c>
    </row>
    <row r="22" spans="2:8" x14ac:dyDescent="0.35">
      <c r="B22" s="2" t="s">
        <v>102</v>
      </c>
    </row>
    <row r="24" spans="2:8" x14ac:dyDescent="0.35">
      <c r="B24" s="11" t="s">
        <v>103</v>
      </c>
    </row>
    <row r="25" spans="2:8" x14ac:dyDescent="0.35">
      <c r="B25" s="3" t="s">
        <v>104</v>
      </c>
      <c r="C25" s="3" t="s">
        <v>105</v>
      </c>
      <c r="D25" s="3" t="s">
        <v>106</v>
      </c>
      <c r="H25" s="18" t="s">
        <v>107</v>
      </c>
    </row>
    <row r="26" spans="2:8" ht="27.75" customHeight="1" x14ac:dyDescent="0.35">
      <c r="B26" s="5" t="s">
        <v>108</v>
      </c>
      <c r="C26" s="15">
        <f>'ECFC data'!$K$32</f>
        <v>-6.6</v>
      </c>
      <c r="D26" s="5" t="s">
        <v>109</v>
      </c>
      <c r="H26" s="17" t="s">
        <v>110</v>
      </c>
    </row>
    <row r="27" spans="2:8" ht="27.75" customHeight="1" x14ac:dyDescent="0.35">
      <c r="B27" s="5" t="s">
        <v>111</v>
      </c>
      <c r="C27" s="15">
        <f>'ECFC data'!$K$33</f>
        <v>105</v>
      </c>
      <c r="D27" s="5" t="s">
        <v>109</v>
      </c>
      <c r="H27" s="17"/>
    </row>
    <row r="28" spans="2:8" ht="27.75" customHeight="1" x14ac:dyDescent="0.35">
      <c r="B28" s="5" t="s">
        <v>112</v>
      </c>
      <c r="C28" s="15">
        <f>'ECFC data'!$G$19</f>
        <v>3.3</v>
      </c>
      <c r="D28" s="5" t="s">
        <v>113</v>
      </c>
      <c r="H28" s="17" t="s">
        <v>114</v>
      </c>
    </row>
    <row r="29" spans="2:8" ht="27.75" customHeight="1" x14ac:dyDescent="0.35">
      <c r="B29" s="5" t="s">
        <v>115</v>
      </c>
      <c r="C29" s="15">
        <f>'ECFC data'!$K$26</f>
        <v>4.2</v>
      </c>
      <c r="D29" s="5" t="s">
        <v>116</v>
      </c>
      <c r="H29" s="17" t="s">
        <v>117</v>
      </c>
    </row>
    <row r="30" spans="2:8" ht="27.75" customHeight="1" x14ac:dyDescent="0.35">
      <c r="B30" s="5" t="s">
        <v>118</v>
      </c>
      <c r="C30" s="19">
        <f>'ECFC data'!$K$27</f>
        <v>60</v>
      </c>
      <c r="D30" s="5" t="s">
        <v>119</v>
      </c>
      <c r="H30" s="17"/>
    </row>
    <row r="31" spans="2:8" ht="27.75" customHeight="1" x14ac:dyDescent="0.35">
      <c r="B31" s="5" t="s">
        <v>120</v>
      </c>
      <c r="C31" s="20">
        <f>'ECFC data'!$K$40/'ECFC data'!$F$40-1</f>
        <v>3.539823008849563E-2</v>
      </c>
      <c r="D31" s="5" t="s">
        <v>121</v>
      </c>
      <c r="H31" s="17" t="s">
        <v>122</v>
      </c>
    </row>
    <row r="32" spans="2:8" ht="27.75" customHeight="1" x14ac:dyDescent="0.35">
      <c r="B32" s="5" t="s">
        <v>123</v>
      </c>
      <c r="C32" s="9">
        <f>('ECFC data'!$L$75-'ECFC data'!$F$75)*100</f>
        <v>-138.99999999999997</v>
      </c>
      <c r="D32" s="5" t="s">
        <v>124</v>
      </c>
      <c r="H32" s="17" t="s">
        <v>125</v>
      </c>
    </row>
    <row r="33" spans="2:12" ht="27.75" customHeight="1" x14ac:dyDescent="0.35">
      <c r="B33" s="5" t="s">
        <v>126</v>
      </c>
      <c r="C33" s="15">
        <f>'ECFC data'!$K$57</f>
        <v>1.6</v>
      </c>
      <c r="D33" s="5" t="s">
        <v>127</v>
      </c>
      <c r="H33" s="17" t="s">
        <v>128</v>
      </c>
    </row>
    <row r="35" spans="2:12" x14ac:dyDescent="0.35">
      <c r="B35" s="11" t="s">
        <v>129</v>
      </c>
    </row>
    <row r="36" spans="2:12" x14ac:dyDescent="0.35">
      <c r="B36" s="5" t="s">
        <v>130</v>
      </c>
    </row>
    <row r="37" spans="2:12" x14ac:dyDescent="0.35">
      <c r="B37" s="5" t="s">
        <v>131</v>
      </c>
    </row>
    <row r="38" spans="2:12" x14ac:dyDescent="0.35">
      <c r="B38" s="5" t="s">
        <v>132</v>
      </c>
    </row>
    <row r="39" spans="2:12" x14ac:dyDescent="0.35">
      <c r="B39" s="5" t="s">
        <v>133</v>
      </c>
    </row>
    <row r="40" spans="2:12" x14ac:dyDescent="0.35">
      <c r="B40" s="5" t="s">
        <v>134</v>
      </c>
    </row>
    <row r="41" spans="2:12" x14ac:dyDescent="0.35">
      <c r="B41" s="5" t="s">
        <v>135</v>
      </c>
    </row>
    <row r="42" spans="2:12" x14ac:dyDescent="0.35">
      <c r="L42" t="s">
        <v>138</v>
      </c>
    </row>
    <row r="43" spans="2:12" x14ac:dyDescent="0.35">
      <c r="B43" s="2" t="s">
        <v>136</v>
      </c>
    </row>
    <row r="44" spans="2:12" x14ac:dyDescent="0.35">
      <c r="B44" s="2" t="s">
        <v>137</v>
      </c>
    </row>
    <row r="47" spans="2:12" x14ac:dyDescent="0.35">
      <c r="L47" s="2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28"/>
  <sheetViews>
    <sheetView zoomScale="60" zoomScaleNormal="100" workbookViewId="0">
      <selection activeCell="J28" sqref="J28"/>
    </sheetView>
  </sheetViews>
  <sheetFormatPr defaultColWidth="8.6328125" defaultRowHeight="14.5" x14ac:dyDescent="0.35"/>
  <cols>
    <col min="1" max="1" width="3" customWidth="1"/>
    <col min="2" max="2" width="30" customWidth="1"/>
    <col min="3" max="8" width="16" customWidth="1"/>
  </cols>
  <sheetData>
    <row r="2" spans="2:8" ht="15.5" x14ac:dyDescent="0.35">
      <c r="B2" s="1" t="s">
        <v>139</v>
      </c>
    </row>
    <row r="4" spans="2:8" x14ac:dyDescent="0.35">
      <c r="B4" s="5" t="s">
        <v>140</v>
      </c>
      <c r="C4" s="21">
        <v>46307</v>
      </c>
    </row>
    <row r="5" spans="2:8" x14ac:dyDescent="0.35">
      <c r="B5" s="5" t="s">
        <v>141</v>
      </c>
      <c r="C5" s="22">
        <v>4</v>
      </c>
    </row>
    <row r="6" spans="2:8" x14ac:dyDescent="0.35">
      <c r="B6" s="5" t="s">
        <v>142</v>
      </c>
      <c r="C6" s="22">
        <v>3.88</v>
      </c>
    </row>
    <row r="7" spans="2:8" x14ac:dyDescent="0.35">
      <c r="B7" s="5" t="s">
        <v>143</v>
      </c>
      <c r="C7" s="23">
        <v>3.879</v>
      </c>
    </row>
    <row r="8" spans="2:8" x14ac:dyDescent="0.35">
      <c r="B8" s="5" t="s">
        <v>144</v>
      </c>
      <c r="C8" s="24">
        <f>C5-C6</f>
        <v>0.12000000000000011</v>
      </c>
    </row>
    <row r="10" spans="2:8" ht="39.75" customHeight="1" x14ac:dyDescent="0.35">
      <c r="B10" s="3" t="s">
        <v>145</v>
      </c>
      <c r="C10" s="3" t="s">
        <v>212</v>
      </c>
      <c r="D10" s="3" t="s">
        <v>146</v>
      </c>
      <c r="E10" s="3" t="s">
        <v>147</v>
      </c>
      <c r="F10" s="3" t="s">
        <v>148</v>
      </c>
      <c r="G10" s="3" t="s">
        <v>149</v>
      </c>
      <c r="H10" s="3" t="s">
        <v>150</v>
      </c>
    </row>
    <row r="11" spans="2:8" x14ac:dyDescent="0.35">
      <c r="B11" s="25">
        <v>46323</v>
      </c>
      <c r="C11" s="26">
        <v>0.22</v>
      </c>
      <c r="D11" s="27">
        <v>0.216</v>
      </c>
      <c r="E11" s="27">
        <v>5.3999999999999999E-2</v>
      </c>
      <c r="F11" s="27">
        <v>3.9319999999999999</v>
      </c>
      <c r="G11" s="7">
        <f t="shared" ref="G11:G21" si="0">F11+$C$8</f>
        <v>4.0519999999999996</v>
      </c>
      <c r="H11" s="7">
        <f t="shared" ref="H11:H21" si="1">$C$6</f>
        <v>3.88</v>
      </c>
    </row>
    <row r="12" spans="2:8" x14ac:dyDescent="0.35">
      <c r="B12" s="25">
        <v>46365</v>
      </c>
      <c r="C12" s="26">
        <v>0.86</v>
      </c>
      <c r="D12" s="27">
        <v>1.0860000000000001</v>
      </c>
      <c r="E12" s="27">
        <v>0.27200000000000002</v>
      </c>
      <c r="F12" s="27">
        <v>4.1500000000000004</v>
      </c>
      <c r="G12" s="7">
        <f t="shared" si="0"/>
        <v>4.2700000000000005</v>
      </c>
      <c r="H12" s="7">
        <f t="shared" si="1"/>
        <v>3.88</v>
      </c>
    </row>
    <row r="13" spans="2:8" x14ac:dyDescent="0.35">
      <c r="B13" s="25">
        <v>46414</v>
      </c>
      <c r="C13" s="26">
        <v>0.42</v>
      </c>
      <c r="D13" s="27">
        <v>1.496</v>
      </c>
      <c r="E13" s="27">
        <v>0.374</v>
      </c>
      <c r="F13" s="27">
        <v>4.2530000000000001</v>
      </c>
      <c r="G13" s="7">
        <f t="shared" si="0"/>
        <v>4.3730000000000002</v>
      </c>
      <c r="H13" s="7">
        <f t="shared" si="1"/>
        <v>3.88</v>
      </c>
    </row>
    <row r="14" spans="2:8" x14ac:dyDescent="0.35">
      <c r="B14" s="25">
        <v>46463</v>
      </c>
      <c r="C14" s="26">
        <v>0.72</v>
      </c>
      <c r="D14" s="27">
        <v>2.2389999999999999</v>
      </c>
      <c r="E14" s="27">
        <v>0.56000000000000005</v>
      </c>
      <c r="F14" s="27">
        <v>4.4379999999999997</v>
      </c>
      <c r="G14" s="7">
        <f t="shared" si="0"/>
        <v>4.5579999999999998</v>
      </c>
      <c r="H14" s="7">
        <f t="shared" si="1"/>
        <v>3.88</v>
      </c>
    </row>
    <row r="15" spans="2:8" x14ac:dyDescent="0.35">
      <c r="B15" s="25">
        <v>46505</v>
      </c>
      <c r="C15" s="26">
        <v>0.4</v>
      </c>
      <c r="D15" s="27">
        <v>2.6360000000000001</v>
      </c>
      <c r="E15" s="27">
        <v>0.65900000000000003</v>
      </c>
      <c r="F15" s="27">
        <v>4.5369999999999999</v>
      </c>
      <c r="G15" s="7">
        <f t="shared" si="0"/>
        <v>4.657</v>
      </c>
      <c r="H15" s="7">
        <f t="shared" si="1"/>
        <v>3.88</v>
      </c>
    </row>
    <row r="16" spans="2:8" x14ac:dyDescent="0.35">
      <c r="B16" s="25">
        <v>46547</v>
      </c>
      <c r="C16" s="26">
        <v>0.43</v>
      </c>
      <c r="D16" s="27">
        <v>3.056</v>
      </c>
      <c r="E16" s="27">
        <v>0.76400000000000001</v>
      </c>
      <c r="F16" s="27">
        <v>4.6420000000000003</v>
      </c>
      <c r="G16" s="7">
        <f t="shared" si="0"/>
        <v>4.7620000000000005</v>
      </c>
      <c r="H16" s="7">
        <f t="shared" si="1"/>
        <v>3.88</v>
      </c>
    </row>
    <row r="17" spans="2:10" x14ac:dyDescent="0.35">
      <c r="B17" s="25">
        <v>46596</v>
      </c>
      <c r="C17" s="26">
        <v>0.15</v>
      </c>
      <c r="D17" s="27">
        <v>3.2160000000000002</v>
      </c>
      <c r="E17" s="27">
        <v>0.80400000000000005</v>
      </c>
      <c r="F17" s="27">
        <v>4.6820000000000004</v>
      </c>
      <c r="G17" s="7">
        <f t="shared" si="0"/>
        <v>4.8020000000000005</v>
      </c>
      <c r="H17" s="7">
        <f t="shared" si="1"/>
        <v>3.88</v>
      </c>
    </row>
    <row r="18" spans="2:10" x14ac:dyDescent="0.35">
      <c r="B18" s="25">
        <v>46645</v>
      </c>
      <c r="C18" s="26">
        <v>0.16</v>
      </c>
      <c r="D18" s="27">
        <v>3.3740000000000001</v>
      </c>
      <c r="E18" s="27">
        <v>0.84299999999999997</v>
      </c>
      <c r="F18" s="27">
        <v>4.7220000000000004</v>
      </c>
      <c r="G18" s="7">
        <f t="shared" si="0"/>
        <v>4.8420000000000005</v>
      </c>
      <c r="H18" s="7">
        <f t="shared" si="1"/>
        <v>3.88</v>
      </c>
    </row>
    <row r="19" spans="2:10" x14ac:dyDescent="0.35">
      <c r="B19" s="25">
        <v>46687</v>
      </c>
      <c r="C19" s="26">
        <v>0.04</v>
      </c>
      <c r="D19" s="27">
        <v>3.4060000000000001</v>
      </c>
      <c r="E19" s="27">
        <v>0.85099999999999998</v>
      </c>
      <c r="F19" s="27">
        <v>4.7300000000000004</v>
      </c>
      <c r="G19" s="7">
        <f t="shared" si="0"/>
        <v>4.8500000000000005</v>
      </c>
      <c r="H19" s="7">
        <f t="shared" si="1"/>
        <v>3.88</v>
      </c>
    </row>
    <row r="20" spans="2:10" x14ac:dyDescent="0.35">
      <c r="B20" s="25">
        <v>46729</v>
      </c>
      <c r="C20" s="26">
        <v>-0.04</v>
      </c>
      <c r="D20" s="27">
        <v>3.3679999999999999</v>
      </c>
      <c r="E20" s="27">
        <v>0.84199999999999997</v>
      </c>
      <c r="F20" s="27">
        <v>4.72</v>
      </c>
      <c r="G20" s="7">
        <f t="shared" si="0"/>
        <v>4.84</v>
      </c>
      <c r="H20" s="7">
        <f t="shared" si="1"/>
        <v>3.88</v>
      </c>
    </row>
    <row r="21" spans="2:10" x14ac:dyDescent="0.35">
      <c r="B21" s="25">
        <v>46778</v>
      </c>
      <c r="C21" s="26">
        <v>-0.02</v>
      </c>
      <c r="D21" s="27">
        <v>3.3460000000000001</v>
      </c>
      <c r="E21" s="27">
        <v>0.83599999999999997</v>
      </c>
      <c r="F21" s="27">
        <v>4.7149999999999999</v>
      </c>
      <c r="G21" s="7">
        <f t="shared" si="0"/>
        <v>4.835</v>
      </c>
      <c r="H21" s="7">
        <f t="shared" si="1"/>
        <v>3.88</v>
      </c>
    </row>
    <row r="23" spans="2:10" x14ac:dyDescent="0.35">
      <c r="B23" s="2" t="s">
        <v>151</v>
      </c>
    </row>
    <row r="24" spans="2:10" x14ac:dyDescent="0.35">
      <c r="B24" s="2" t="s">
        <v>152</v>
      </c>
    </row>
    <row r="25" spans="2:10" s="41" customFormat="1" ht="21.5" customHeight="1" x14ac:dyDescent="0.35">
      <c r="B25" s="40" t="s">
        <v>153</v>
      </c>
      <c r="C25" s="40"/>
      <c r="D25" s="40"/>
      <c r="E25" s="40"/>
      <c r="F25" s="40"/>
      <c r="G25" s="40"/>
      <c r="H25" s="40"/>
    </row>
    <row r="28" spans="2:10" x14ac:dyDescent="0.35">
      <c r="J28" t="s">
        <v>211</v>
      </c>
    </row>
  </sheetData>
  <mergeCells count="1">
    <mergeCell ref="B25:H2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78"/>
  <sheetViews>
    <sheetView zoomScaleNormal="100" workbookViewId="0">
      <pane xSplit="2" ySplit="4" topLeftCell="C61" activePane="bottomRight" state="frozen"/>
      <selection pane="topRight" activeCell="C1" sqref="C1"/>
      <selection pane="bottomLeft" activeCell="A5" sqref="A5"/>
      <selection pane="bottomRight" activeCell="I7" sqref="I7"/>
    </sheetView>
  </sheetViews>
  <sheetFormatPr defaultColWidth="8.6328125" defaultRowHeight="14.5" x14ac:dyDescent="0.35"/>
  <cols>
    <col min="1" max="1" width="3" customWidth="1"/>
    <col min="2" max="2" width="44" customWidth="1"/>
    <col min="3" max="12" width="9" customWidth="1"/>
  </cols>
  <sheetData>
    <row r="2" spans="2:12" ht="15.5" x14ac:dyDescent="0.35">
      <c r="B2" s="1" t="s">
        <v>154</v>
      </c>
    </row>
    <row r="3" spans="2:12" x14ac:dyDescent="0.35">
      <c r="B3" s="2" t="s">
        <v>155</v>
      </c>
    </row>
    <row r="5" spans="2:12" x14ac:dyDescent="0.35">
      <c r="B5" s="11" t="s">
        <v>72</v>
      </c>
    </row>
    <row r="6" spans="2:12" x14ac:dyDescent="0.35">
      <c r="B6" s="28" t="s">
        <v>2</v>
      </c>
      <c r="C6" s="29" t="s">
        <v>156</v>
      </c>
      <c r="D6" s="29" t="s">
        <v>157</v>
      </c>
      <c r="E6" s="29" t="s">
        <v>158</v>
      </c>
      <c r="F6" s="35" t="s">
        <v>159</v>
      </c>
      <c r="G6" s="29" t="s">
        <v>61</v>
      </c>
      <c r="H6" s="29" t="s">
        <v>71</v>
      </c>
      <c r="I6" s="29" t="s">
        <v>73</v>
      </c>
      <c r="J6" s="29" t="s">
        <v>75</v>
      </c>
      <c r="K6" s="29" t="s">
        <v>77</v>
      </c>
      <c r="L6" s="29" t="s">
        <v>79</v>
      </c>
    </row>
    <row r="7" spans="2:12" x14ac:dyDescent="0.35">
      <c r="B7" s="30" t="s">
        <v>160</v>
      </c>
      <c r="F7" s="36"/>
    </row>
    <row r="8" spans="2:12" x14ac:dyDescent="0.35">
      <c r="B8" s="5" t="s">
        <v>161</v>
      </c>
      <c r="C8" s="31">
        <v>2</v>
      </c>
      <c r="D8" s="31">
        <v>2.6</v>
      </c>
      <c r="E8" s="31">
        <v>2.2000000000000002</v>
      </c>
      <c r="F8" s="37">
        <v>1.8</v>
      </c>
      <c r="G8" s="31">
        <v>2.1</v>
      </c>
      <c r="H8" s="31">
        <v>2.1</v>
      </c>
      <c r="I8" s="31">
        <v>2.2999999999999998</v>
      </c>
      <c r="J8" s="31">
        <v>2.1</v>
      </c>
      <c r="K8" s="31">
        <v>2.1</v>
      </c>
      <c r="L8" s="31">
        <v>2.1</v>
      </c>
    </row>
    <row r="9" spans="2:12" x14ac:dyDescent="0.35">
      <c r="B9" s="5" t="s">
        <v>162</v>
      </c>
      <c r="C9" s="31">
        <v>0.2</v>
      </c>
      <c r="D9" s="31">
        <v>2.5</v>
      </c>
      <c r="E9" s="31">
        <v>2.2000000000000002</v>
      </c>
      <c r="F9" s="37">
        <v>2.8</v>
      </c>
      <c r="G9" s="31">
        <v>2.1</v>
      </c>
      <c r="H9" s="31">
        <v>2.1</v>
      </c>
      <c r="I9" s="31">
        <v>2.1</v>
      </c>
      <c r="J9" s="31">
        <v>2.2000000000000002</v>
      </c>
      <c r="K9" s="31">
        <v>2.2000000000000002</v>
      </c>
      <c r="L9" s="31">
        <v>2.2000000000000002</v>
      </c>
    </row>
    <row r="10" spans="2:12" x14ac:dyDescent="0.35">
      <c r="B10" s="5" t="s">
        <v>163</v>
      </c>
      <c r="C10" s="31">
        <v>1.9</v>
      </c>
      <c r="D10" s="31">
        <v>0.7</v>
      </c>
      <c r="E10" s="31">
        <v>3.8</v>
      </c>
      <c r="F10" s="37">
        <v>2.5</v>
      </c>
      <c r="G10" s="31">
        <v>1.9</v>
      </c>
      <c r="H10" s="31">
        <v>1.9</v>
      </c>
      <c r="I10" s="31">
        <v>2</v>
      </c>
      <c r="J10" s="31">
        <v>2</v>
      </c>
      <c r="K10" s="31">
        <v>2.1</v>
      </c>
      <c r="L10" s="31">
        <v>2.2000000000000002</v>
      </c>
    </row>
    <row r="11" spans="2:12" x14ac:dyDescent="0.35">
      <c r="B11" s="5" t="s">
        <v>164</v>
      </c>
      <c r="C11" s="31">
        <v>-5.7</v>
      </c>
      <c r="D11" s="31">
        <v>4.7</v>
      </c>
      <c r="E11" s="31">
        <v>-0.1</v>
      </c>
      <c r="F11" s="37">
        <v>1.5</v>
      </c>
      <c r="G11" s="31">
        <v>1.4</v>
      </c>
      <c r="H11" s="31">
        <v>1.2</v>
      </c>
      <c r="I11" s="31">
        <v>1.2</v>
      </c>
      <c r="J11" s="31">
        <v>1.1000000000000001</v>
      </c>
      <c r="K11" s="31">
        <v>1.1000000000000001</v>
      </c>
      <c r="L11" s="31">
        <v>1.1000000000000001</v>
      </c>
    </row>
    <row r="12" spans="2:12" x14ac:dyDescent="0.35">
      <c r="B12" s="5" t="s">
        <v>165</v>
      </c>
      <c r="C12" s="31">
        <v>1.1000000000000001</v>
      </c>
      <c r="D12" s="31">
        <v>7.2</v>
      </c>
      <c r="E12" s="31">
        <v>4.5999999999999996</v>
      </c>
      <c r="F12" s="37">
        <v>7.4</v>
      </c>
      <c r="G12" s="31">
        <v>4.4000000000000004</v>
      </c>
      <c r="H12" s="31">
        <v>4</v>
      </c>
      <c r="I12" s="31">
        <v>4</v>
      </c>
      <c r="J12" s="31">
        <v>3.8</v>
      </c>
      <c r="K12" s="31">
        <v>3.8</v>
      </c>
      <c r="L12" s="31">
        <v>3.8</v>
      </c>
    </row>
    <row r="13" spans="2:12" x14ac:dyDescent="0.35">
      <c r="B13" s="5" t="s">
        <v>166</v>
      </c>
      <c r="C13" s="31">
        <v>-4.2</v>
      </c>
      <c r="D13" s="31">
        <v>13.9</v>
      </c>
      <c r="E13" s="31">
        <v>5</v>
      </c>
      <c r="F13" s="37">
        <v>2</v>
      </c>
      <c r="G13" s="31">
        <v>2.7</v>
      </c>
      <c r="H13" s="31">
        <v>2.5</v>
      </c>
      <c r="I13" s="31">
        <v>2.7</v>
      </c>
      <c r="J13" s="31">
        <v>2.8</v>
      </c>
      <c r="K13" s="31">
        <v>2.7</v>
      </c>
      <c r="L13" s="31">
        <v>2.8</v>
      </c>
    </row>
    <row r="14" spans="2:12" x14ac:dyDescent="0.35">
      <c r="B14" s="5" t="s">
        <v>167</v>
      </c>
      <c r="C14" s="31">
        <v>-1.5</v>
      </c>
      <c r="D14" s="31">
        <v>11.5</v>
      </c>
      <c r="E14" s="31">
        <v>12.6</v>
      </c>
      <c r="F14" s="37">
        <v>7</v>
      </c>
      <c r="G14" s="31">
        <v>3.5</v>
      </c>
      <c r="H14" s="31">
        <v>3</v>
      </c>
      <c r="I14" s="31">
        <v>3</v>
      </c>
      <c r="J14" s="31">
        <v>3</v>
      </c>
      <c r="K14" s="31">
        <v>3</v>
      </c>
      <c r="L14" s="31">
        <v>2.8</v>
      </c>
    </row>
    <row r="15" spans="2:12" x14ac:dyDescent="0.35">
      <c r="B15" s="5" t="s">
        <v>168</v>
      </c>
      <c r="C15" s="31">
        <v>1.6</v>
      </c>
      <c r="D15" s="31">
        <v>0.8</v>
      </c>
      <c r="E15" s="31">
        <v>1.5</v>
      </c>
      <c r="F15" s="37">
        <v>1.4</v>
      </c>
      <c r="G15" s="31">
        <v>2.2000000000000002</v>
      </c>
      <c r="H15" s="31">
        <v>2.2000000000000002</v>
      </c>
      <c r="I15" s="31">
        <v>1.8</v>
      </c>
      <c r="J15" s="31">
        <v>1.8</v>
      </c>
      <c r="K15" s="31">
        <v>1.8</v>
      </c>
      <c r="L15" s="31">
        <v>2</v>
      </c>
    </row>
    <row r="16" spans="2:12" x14ac:dyDescent="0.35">
      <c r="B16" s="30" t="s">
        <v>169</v>
      </c>
      <c r="F16" s="36"/>
    </row>
    <row r="17" spans="2:12" x14ac:dyDescent="0.35">
      <c r="B17" s="5" t="s">
        <v>57</v>
      </c>
      <c r="C17" s="31">
        <v>2.7</v>
      </c>
      <c r="D17" s="31">
        <v>2.7</v>
      </c>
      <c r="E17" s="31">
        <v>3.9</v>
      </c>
      <c r="F17" s="37">
        <v>3.4</v>
      </c>
      <c r="G17" s="31">
        <v>3.5</v>
      </c>
      <c r="H17" s="31">
        <v>3.2</v>
      </c>
      <c r="I17" s="31">
        <v>2.2000000000000002</v>
      </c>
      <c r="J17" s="31">
        <v>2.4</v>
      </c>
      <c r="K17" s="31">
        <v>2.1</v>
      </c>
      <c r="L17" s="31">
        <v>2.2999999999999998</v>
      </c>
    </row>
    <row r="18" spans="2:12" x14ac:dyDescent="0.35">
      <c r="B18" s="5" t="s">
        <v>170</v>
      </c>
      <c r="C18" s="31">
        <v>2.8</v>
      </c>
      <c r="D18" s="31">
        <v>3.1</v>
      </c>
      <c r="E18" s="31">
        <v>3.9</v>
      </c>
      <c r="F18" s="37">
        <v>3.7</v>
      </c>
      <c r="G18" s="31">
        <v>3.6</v>
      </c>
      <c r="H18" s="31">
        <v>3.1</v>
      </c>
      <c r="I18" s="31">
        <v>2.2999999999999998</v>
      </c>
      <c r="J18" s="31">
        <v>2.2999999999999998</v>
      </c>
      <c r="K18" s="31">
        <v>2.2000000000000002</v>
      </c>
      <c r="L18" s="31">
        <v>2.1</v>
      </c>
    </row>
    <row r="19" spans="2:12" x14ac:dyDescent="0.35">
      <c r="B19" s="5" t="s">
        <v>171</v>
      </c>
      <c r="C19" s="31">
        <v>2.8</v>
      </c>
      <c r="D19" s="31">
        <v>3</v>
      </c>
      <c r="E19" s="31">
        <v>3.1</v>
      </c>
      <c r="F19" s="37">
        <v>3.3</v>
      </c>
      <c r="G19" s="31">
        <v>3.3</v>
      </c>
      <c r="H19" s="31">
        <v>2.8</v>
      </c>
      <c r="I19" s="31">
        <v>2.6</v>
      </c>
      <c r="J19" s="31">
        <v>2.5</v>
      </c>
      <c r="K19" s="31">
        <v>2.4</v>
      </c>
      <c r="L19" s="31">
        <v>2.2999999999999998</v>
      </c>
    </row>
    <row r="20" spans="2:12" x14ac:dyDescent="0.35">
      <c r="B20" s="30" t="s">
        <v>172</v>
      </c>
      <c r="F20" s="36"/>
    </row>
    <row r="21" spans="2:12" x14ac:dyDescent="0.35">
      <c r="B21" s="5" t="s">
        <v>173</v>
      </c>
      <c r="C21" s="32">
        <v>1323</v>
      </c>
      <c r="D21" s="32">
        <v>1418</v>
      </c>
      <c r="E21" s="32">
        <v>1345</v>
      </c>
      <c r="F21" s="38">
        <v>1326</v>
      </c>
      <c r="G21" s="32">
        <v>1326</v>
      </c>
      <c r="H21" s="32">
        <v>1327</v>
      </c>
      <c r="I21" s="32">
        <v>1331</v>
      </c>
      <c r="J21" s="32">
        <v>1349</v>
      </c>
      <c r="K21" s="32">
        <v>1363</v>
      </c>
      <c r="L21" s="32">
        <v>1368</v>
      </c>
    </row>
    <row r="22" spans="2:12" x14ac:dyDescent="0.35">
      <c r="B22" s="5" t="s">
        <v>174</v>
      </c>
      <c r="C22" s="32">
        <v>711</v>
      </c>
      <c r="D22" s="32">
        <v>622</v>
      </c>
      <c r="E22" s="32">
        <v>650</v>
      </c>
      <c r="F22" s="38">
        <v>628</v>
      </c>
      <c r="G22" s="32">
        <v>632</v>
      </c>
      <c r="H22" s="32">
        <v>647</v>
      </c>
      <c r="I22" s="32">
        <v>653</v>
      </c>
      <c r="J22" s="32">
        <v>664</v>
      </c>
      <c r="K22" s="32">
        <v>676</v>
      </c>
      <c r="L22" s="32">
        <v>694</v>
      </c>
    </row>
    <row r="23" spans="2:12" x14ac:dyDescent="0.35">
      <c r="B23" s="5" t="s">
        <v>175</v>
      </c>
      <c r="C23" s="31">
        <v>4.2</v>
      </c>
      <c r="D23" s="31">
        <v>4.0999999999999996</v>
      </c>
      <c r="E23" s="31">
        <v>4.0999999999999996</v>
      </c>
      <c r="F23" s="37">
        <v>4</v>
      </c>
      <c r="G23" s="31">
        <v>4.0999999999999996</v>
      </c>
      <c r="H23" s="31">
        <v>4.0999999999999996</v>
      </c>
      <c r="I23" s="31">
        <v>4.2</v>
      </c>
      <c r="J23" s="31">
        <v>4.2</v>
      </c>
      <c r="K23" s="31">
        <v>4.2</v>
      </c>
      <c r="L23" s="31">
        <v>4.3</v>
      </c>
    </row>
    <row r="24" spans="2:12" x14ac:dyDescent="0.35">
      <c r="B24" s="5" t="s">
        <v>176</v>
      </c>
      <c r="C24" s="32">
        <v>1438</v>
      </c>
      <c r="D24" s="32">
        <v>1432</v>
      </c>
      <c r="E24" s="32">
        <v>1402</v>
      </c>
      <c r="F24" s="38">
        <v>1416</v>
      </c>
      <c r="G24" s="32">
        <v>1406</v>
      </c>
      <c r="H24" s="32">
        <v>1405</v>
      </c>
      <c r="I24" s="32">
        <v>1410</v>
      </c>
      <c r="J24" s="32">
        <v>1424</v>
      </c>
      <c r="K24" s="32">
        <v>1437</v>
      </c>
      <c r="L24" s="32">
        <v>1418</v>
      </c>
    </row>
    <row r="25" spans="2:12" x14ac:dyDescent="0.35">
      <c r="B25" s="30" t="s">
        <v>177</v>
      </c>
      <c r="F25" s="36"/>
    </row>
    <row r="26" spans="2:12" x14ac:dyDescent="0.35">
      <c r="B26" s="5" t="s">
        <v>178</v>
      </c>
      <c r="C26" s="31">
        <v>4.5</v>
      </c>
      <c r="D26" s="31">
        <v>4.3</v>
      </c>
      <c r="E26" s="31">
        <v>4.3</v>
      </c>
      <c r="F26" s="37">
        <v>4.0999999999999996</v>
      </c>
      <c r="G26" s="31">
        <v>4.2</v>
      </c>
      <c r="H26" s="31">
        <v>4.2</v>
      </c>
      <c r="I26" s="31">
        <v>4.2</v>
      </c>
      <c r="J26" s="31">
        <v>4.2</v>
      </c>
      <c r="K26" s="31">
        <v>4.2</v>
      </c>
      <c r="L26" s="31">
        <v>4.2</v>
      </c>
    </row>
    <row r="27" spans="2:12" x14ac:dyDescent="0.35">
      <c r="B27" s="5" t="s">
        <v>179</v>
      </c>
      <c r="C27" s="32">
        <v>-39</v>
      </c>
      <c r="D27" s="32">
        <v>73</v>
      </c>
      <c r="E27" s="32">
        <v>81</v>
      </c>
      <c r="F27" s="38">
        <v>51</v>
      </c>
      <c r="G27" s="32">
        <v>65</v>
      </c>
      <c r="H27" s="32">
        <v>60</v>
      </c>
      <c r="I27" s="32">
        <v>60</v>
      </c>
      <c r="J27" s="32">
        <v>60</v>
      </c>
      <c r="K27" s="32">
        <v>60</v>
      </c>
      <c r="L27" s="32">
        <v>71</v>
      </c>
    </row>
    <row r="28" spans="2:12" x14ac:dyDescent="0.35">
      <c r="B28" s="5" t="s">
        <v>180</v>
      </c>
      <c r="C28" s="31">
        <v>3.9</v>
      </c>
      <c r="D28" s="31">
        <v>3.6</v>
      </c>
      <c r="E28" s="31">
        <v>3.4</v>
      </c>
      <c r="F28" s="37">
        <v>3.1</v>
      </c>
      <c r="G28" s="31">
        <v>3.1</v>
      </c>
      <c r="H28" s="31">
        <v>3.1</v>
      </c>
      <c r="I28" s="31">
        <v>3.1</v>
      </c>
      <c r="J28" s="31">
        <v>3.2</v>
      </c>
      <c r="K28" s="31">
        <v>3.2</v>
      </c>
      <c r="L28" s="31">
        <v>3.3</v>
      </c>
    </row>
    <row r="29" spans="2:12" x14ac:dyDescent="0.35">
      <c r="B29" s="30" t="s">
        <v>181</v>
      </c>
      <c r="F29" s="36"/>
    </row>
    <row r="30" spans="2:12" x14ac:dyDescent="0.35">
      <c r="B30" s="5" t="s">
        <v>182</v>
      </c>
      <c r="C30" s="31">
        <v>-3.7</v>
      </c>
      <c r="D30" s="31">
        <v>-3</v>
      </c>
      <c r="E30" s="31">
        <v>-2.9</v>
      </c>
      <c r="F30" s="37">
        <v>-3.4</v>
      </c>
      <c r="G30" s="31">
        <v>-3.3</v>
      </c>
      <c r="H30" s="31">
        <v>-3.4</v>
      </c>
      <c r="I30" s="31">
        <v>-3.3</v>
      </c>
      <c r="J30" s="31">
        <v>-3.3</v>
      </c>
      <c r="K30" s="31">
        <v>-3.3</v>
      </c>
      <c r="L30" s="31">
        <v>-3.3</v>
      </c>
    </row>
    <row r="31" spans="2:12" x14ac:dyDescent="0.35">
      <c r="B31" s="30" t="s">
        <v>183</v>
      </c>
      <c r="F31" s="36"/>
    </row>
    <row r="32" spans="2:12" x14ac:dyDescent="0.35">
      <c r="B32" s="5" t="s">
        <v>184</v>
      </c>
      <c r="C32" s="31">
        <v>-5.3</v>
      </c>
      <c r="D32" s="31">
        <v>-5.0999999999999996</v>
      </c>
      <c r="E32" s="31">
        <v>-5.5</v>
      </c>
      <c r="F32" s="37">
        <v>-6.2</v>
      </c>
      <c r="G32" s="31">
        <v>-6.4</v>
      </c>
      <c r="H32" s="31">
        <v>-6.6</v>
      </c>
      <c r="I32" s="31">
        <v>-6.5</v>
      </c>
      <c r="J32" s="31">
        <v>-6.5</v>
      </c>
      <c r="K32" s="31">
        <v>-6.6</v>
      </c>
      <c r="L32" s="31">
        <v>-6.6</v>
      </c>
    </row>
    <row r="33" spans="2:12" x14ac:dyDescent="0.35">
      <c r="B33" s="5" t="s">
        <v>185</v>
      </c>
      <c r="E33" s="31">
        <v>101.7</v>
      </c>
      <c r="F33" s="37">
        <v>102</v>
      </c>
      <c r="G33" s="31">
        <v>103</v>
      </c>
      <c r="H33" s="31">
        <v>104</v>
      </c>
      <c r="I33" s="31">
        <v>105</v>
      </c>
      <c r="J33" s="31">
        <v>105</v>
      </c>
      <c r="K33" s="31">
        <v>105</v>
      </c>
      <c r="L33" s="31">
        <v>104.8</v>
      </c>
    </row>
    <row r="34" spans="2:12" x14ac:dyDescent="0.35">
      <c r="B34" s="30" t="s">
        <v>186</v>
      </c>
      <c r="F34" s="36"/>
    </row>
    <row r="35" spans="2:12" x14ac:dyDescent="0.35">
      <c r="B35" s="5" t="s">
        <v>187</v>
      </c>
      <c r="C35" s="27">
        <v>3.75</v>
      </c>
      <c r="D35" s="27">
        <v>3.75</v>
      </c>
      <c r="E35" s="27">
        <v>3.75</v>
      </c>
      <c r="F35" s="39">
        <v>4</v>
      </c>
      <c r="G35" s="27">
        <v>4.25</v>
      </c>
      <c r="H35" s="27">
        <v>4.28</v>
      </c>
      <c r="I35" s="27">
        <v>4.25</v>
      </c>
      <c r="J35" s="27">
        <v>4.16</v>
      </c>
      <c r="K35" s="27">
        <v>4.08</v>
      </c>
      <c r="L35" s="27">
        <v>3.85</v>
      </c>
    </row>
    <row r="36" spans="2:12" x14ac:dyDescent="0.35">
      <c r="B36" s="5" t="s">
        <v>188</v>
      </c>
      <c r="C36" s="27">
        <v>3.65</v>
      </c>
      <c r="D36" s="27">
        <v>3.68</v>
      </c>
      <c r="E36" s="27">
        <v>3.73</v>
      </c>
      <c r="F36" s="39">
        <v>4.08</v>
      </c>
      <c r="G36" s="27">
        <v>4.13</v>
      </c>
      <c r="H36" s="27">
        <v>4.1500000000000004</v>
      </c>
      <c r="I36" s="27">
        <v>4.12</v>
      </c>
      <c r="J36" s="27">
        <v>4.04</v>
      </c>
      <c r="K36" s="27">
        <v>3.99</v>
      </c>
      <c r="L36" s="27">
        <v>3.83</v>
      </c>
    </row>
    <row r="37" spans="2:12" x14ac:dyDescent="0.35">
      <c r="B37" s="5" t="s">
        <v>189</v>
      </c>
      <c r="C37" s="27">
        <v>3.48</v>
      </c>
      <c r="D37" s="27">
        <v>3.8</v>
      </c>
      <c r="E37" s="27">
        <v>4.18</v>
      </c>
      <c r="F37" s="39">
        <v>4.8899999999999997</v>
      </c>
      <c r="G37" s="27">
        <v>4.46</v>
      </c>
      <c r="H37" s="27">
        <v>4.38</v>
      </c>
      <c r="I37" s="27">
        <v>4.28</v>
      </c>
      <c r="J37" s="27">
        <v>4.1900000000000004</v>
      </c>
      <c r="K37" s="27">
        <v>4.08</v>
      </c>
      <c r="L37" s="27">
        <v>3.99</v>
      </c>
    </row>
    <row r="38" spans="2:12" x14ac:dyDescent="0.35">
      <c r="B38" s="5" t="s">
        <v>190</v>
      </c>
      <c r="C38" s="27">
        <v>4.17</v>
      </c>
      <c r="D38" s="27">
        <v>4.32</v>
      </c>
      <c r="E38" s="27">
        <v>4.47</v>
      </c>
      <c r="F38" s="39">
        <v>5.29</v>
      </c>
      <c r="G38" s="27">
        <v>4.87</v>
      </c>
      <c r="H38" s="27">
        <v>4.8</v>
      </c>
      <c r="I38" s="27">
        <v>4.72</v>
      </c>
      <c r="J38" s="27">
        <v>4.6500000000000004</v>
      </c>
      <c r="K38" s="27">
        <v>4.5999999999999996</v>
      </c>
      <c r="L38" s="27">
        <v>4.5199999999999996</v>
      </c>
    </row>
    <row r="39" spans="2:12" x14ac:dyDescent="0.35">
      <c r="B39" s="30" t="s">
        <v>191</v>
      </c>
      <c r="F39" s="36"/>
    </row>
    <row r="40" spans="2:12" x14ac:dyDescent="0.35">
      <c r="B40" s="5" t="s">
        <v>192</v>
      </c>
      <c r="C40" s="27">
        <v>1.17</v>
      </c>
      <c r="D40" s="27">
        <v>1.1599999999999999</v>
      </c>
      <c r="E40" s="27">
        <v>1.1399999999999999</v>
      </c>
      <c r="F40" s="39">
        <v>1.1299999999999999</v>
      </c>
      <c r="G40" s="27">
        <v>1.1399999999999999</v>
      </c>
      <c r="H40" s="27">
        <v>1.1399999999999999</v>
      </c>
      <c r="I40" s="27">
        <v>1.1499999999999999</v>
      </c>
      <c r="J40" s="27">
        <v>1.1599999999999999</v>
      </c>
      <c r="K40" s="27">
        <v>1.17</v>
      </c>
    </row>
    <row r="41" spans="2:12" x14ac:dyDescent="0.35">
      <c r="F41" s="36"/>
    </row>
    <row r="42" spans="2:12" x14ac:dyDescent="0.35">
      <c r="B42" s="11" t="s">
        <v>74</v>
      </c>
      <c r="F42" s="36"/>
    </row>
    <row r="43" spans="2:12" x14ac:dyDescent="0.35">
      <c r="B43" s="28" t="s">
        <v>2</v>
      </c>
      <c r="C43" s="29" t="s">
        <v>156</v>
      </c>
      <c r="D43" s="29" t="s">
        <v>157</v>
      </c>
      <c r="E43" s="29" t="s">
        <v>158</v>
      </c>
      <c r="F43" s="35" t="s">
        <v>159</v>
      </c>
      <c r="G43" s="29" t="s">
        <v>61</v>
      </c>
      <c r="H43" s="29" t="s">
        <v>71</v>
      </c>
      <c r="I43" s="29" t="s">
        <v>73</v>
      </c>
      <c r="J43" s="29" t="s">
        <v>75</v>
      </c>
      <c r="K43" s="29" t="s">
        <v>77</v>
      </c>
      <c r="L43" s="29" t="s">
        <v>79</v>
      </c>
    </row>
    <row r="44" spans="2:12" x14ac:dyDescent="0.35">
      <c r="B44" s="30" t="s">
        <v>160</v>
      </c>
      <c r="F44" s="36"/>
    </row>
    <row r="45" spans="2:12" x14ac:dyDescent="0.35">
      <c r="B45" s="5" t="s">
        <v>161</v>
      </c>
      <c r="C45" s="31">
        <v>0.8</v>
      </c>
      <c r="D45" s="31">
        <v>1.8</v>
      </c>
      <c r="E45" s="31">
        <v>2</v>
      </c>
      <c r="F45" s="37">
        <v>2.1</v>
      </c>
      <c r="G45" s="31">
        <v>1.8</v>
      </c>
      <c r="H45" s="31">
        <v>1.8</v>
      </c>
      <c r="I45" s="31">
        <v>1.8</v>
      </c>
      <c r="J45" s="31">
        <v>1.9</v>
      </c>
      <c r="K45" s="31">
        <v>1.9</v>
      </c>
      <c r="L45" s="31">
        <v>1.9</v>
      </c>
    </row>
    <row r="46" spans="2:12" x14ac:dyDescent="0.35">
      <c r="B46" s="5" t="s">
        <v>57</v>
      </c>
      <c r="C46" s="31">
        <v>3.2</v>
      </c>
      <c r="D46" s="31">
        <v>3.1</v>
      </c>
      <c r="E46" s="31">
        <v>3.9</v>
      </c>
      <c r="F46" s="37">
        <v>3.7</v>
      </c>
      <c r="G46" s="31">
        <v>3.9</v>
      </c>
      <c r="H46" s="31">
        <v>3.6</v>
      </c>
      <c r="I46" s="31">
        <v>2.9</v>
      </c>
      <c r="J46" s="31">
        <v>2.7</v>
      </c>
      <c r="K46" s="31">
        <v>2.5</v>
      </c>
      <c r="L46" s="31">
        <v>2.5</v>
      </c>
    </row>
    <row r="47" spans="2:12" x14ac:dyDescent="0.35">
      <c r="B47" s="5" t="s">
        <v>178</v>
      </c>
      <c r="C47" s="31">
        <v>5.0999999999999996</v>
      </c>
      <c r="D47" s="31">
        <v>5</v>
      </c>
      <c r="E47" s="31">
        <v>5</v>
      </c>
      <c r="F47" s="37">
        <v>4.9000000000000004</v>
      </c>
      <c r="G47" s="31">
        <v>5</v>
      </c>
      <c r="H47" s="31">
        <v>5</v>
      </c>
      <c r="I47" s="31">
        <v>4.9000000000000004</v>
      </c>
      <c r="J47" s="31">
        <v>4.9000000000000004</v>
      </c>
      <c r="K47" s="31">
        <v>4.9000000000000004</v>
      </c>
      <c r="L47" s="31">
        <v>4.8</v>
      </c>
    </row>
    <row r="48" spans="2:12" x14ac:dyDescent="0.35">
      <c r="B48" s="30" t="s">
        <v>186</v>
      </c>
      <c r="F48" s="36"/>
    </row>
    <row r="49" spans="2:12" x14ac:dyDescent="0.35">
      <c r="B49" s="5" t="s">
        <v>187</v>
      </c>
      <c r="C49" s="27">
        <v>3.89</v>
      </c>
      <c r="D49" s="27">
        <v>3.86</v>
      </c>
      <c r="E49" s="27">
        <v>3.93</v>
      </c>
      <c r="F49" s="39">
        <v>4.12</v>
      </c>
      <c r="G49" s="27">
        <v>4.22</v>
      </c>
      <c r="H49" s="27">
        <v>4.21</v>
      </c>
      <c r="I49" s="27">
        <v>4.12</v>
      </c>
      <c r="J49" s="27">
        <v>4.0199999999999996</v>
      </c>
      <c r="K49" s="27">
        <v>3.93</v>
      </c>
      <c r="L49" s="27">
        <v>3.74</v>
      </c>
    </row>
    <row r="50" spans="2:12" x14ac:dyDescent="0.35">
      <c r="B50" s="30" t="s">
        <v>188</v>
      </c>
      <c r="F50" s="36"/>
    </row>
    <row r="51" spans="2:12" x14ac:dyDescent="0.35">
      <c r="B51" s="5" t="s">
        <v>189</v>
      </c>
      <c r="C51" s="27">
        <v>3.74</v>
      </c>
      <c r="D51" s="27">
        <v>4.2699999999999996</v>
      </c>
      <c r="E51" s="27">
        <v>4.28</v>
      </c>
      <c r="F51" s="39">
        <v>4.9400000000000004</v>
      </c>
      <c r="G51" s="27">
        <v>4.66</v>
      </c>
      <c r="H51" s="27">
        <v>4.53</v>
      </c>
      <c r="I51" s="27">
        <v>4.37</v>
      </c>
      <c r="J51" s="27">
        <v>4.2699999999999996</v>
      </c>
      <c r="K51" s="27">
        <v>4.16</v>
      </c>
      <c r="L51" s="27">
        <v>4.05</v>
      </c>
    </row>
    <row r="52" spans="2:12" x14ac:dyDescent="0.35">
      <c r="B52" s="5" t="s">
        <v>190</v>
      </c>
      <c r="C52" s="27">
        <v>4.3899999999999997</v>
      </c>
      <c r="D52" s="27">
        <v>4.68</v>
      </c>
      <c r="E52" s="27">
        <v>4.67</v>
      </c>
      <c r="F52" s="39">
        <v>5.44</v>
      </c>
      <c r="G52" s="27">
        <v>5.14</v>
      </c>
      <c r="H52" s="27">
        <v>5.07</v>
      </c>
      <c r="I52" s="27">
        <v>4.95</v>
      </c>
      <c r="J52" s="27">
        <v>4.87</v>
      </c>
      <c r="K52" s="27">
        <v>4.8099999999999996</v>
      </c>
      <c r="L52" s="27">
        <v>4.78</v>
      </c>
    </row>
    <row r="53" spans="2:12" x14ac:dyDescent="0.35">
      <c r="F53" s="36"/>
    </row>
    <row r="54" spans="2:12" x14ac:dyDescent="0.35">
      <c r="B54" s="11" t="s">
        <v>76</v>
      </c>
      <c r="F54" s="36"/>
    </row>
    <row r="55" spans="2:12" x14ac:dyDescent="0.35">
      <c r="B55" s="28" t="s">
        <v>2</v>
      </c>
      <c r="C55" s="29" t="s">
        <v>156</v>
      </c>
      <c r="D55" s="29" t="s">
        <v>157</v>
      </c>
      <c r="E55" s="29" t="s">
        <v>158</v>
      </c>
      <c r="F55" s="35" t="s">
        <v>159</v>
      </c>
      <c r="G55" s="29" t="s">
        <v>61</v>
      </c>
      <c r="H55" s="29" t="s">
        <v>71</v>
      </c>
      <c r="I55" s="29" t="s">
        <v>73</v>
      </c>
      <c r="J55" s="29" t="s">
        <v>75</v>
      </c>
      <c r="K55" s="29" t="s">
        <v>77</v>
      </c>
      <c r="L55" s="29" t="s">
        <v>79</v>
      </c>
    </row>
    <row r="56" spans="2:12" x14ac:dyDescent="0.35">
      <c r="B56" s="30" t="s">
        <v>160</v>
      </c>
      <c r="F56" s="36"/>
    </row>
    <row r="57" spans="2:12" x14ac:dyDescent="0.35">
      <c r="B57" s="5" t="s">
        <v>161</v>
      </c>
      <c r="C57" s="31">
        <v>1.3</v>
      </c>
      <c r="D57" s="31">
        <v>0.9</v>
      </c>
      <c r="E57" s="31">
        <v>1.4</v>
      </c>
      <c r="F57" s="37">
        <v>1.3</v>
      </c>
      <c r="G57" s="31">
        <v>1.3</v>
      </c>
      <c r="H57" s="31">
        <v>1.3</v>
      </c>
      <c r="I57" s="31">
        <v>1.4</v>
      </c>
      <c r="J57" s="31">
        <v>1.5</v>
      </c>
      <c r="K57" s="31">
        <v>1.6</v>
      </c>
      <c r="L57" s="31">
        <v>1.5</v>
      </c>
    </row>
    <row r="58" spans="2:12" x14ac:dyDescent="0.35">
      <c r="B58" s="5" t="s">
        <v>57</v>
      </c>
      <c r="C58" s="31">
        <v>2.2000000000000002</v>
      </c>
      <c r="D58" s="31">
        <v>2.2000000000000002</v>
      </c>
      <c r="E58" s="31">
        <v>3.1</v>
      </c>
      <c r="F58" s="37">
        <v>3.3</v>
      </c>
      <c r="G58" s="31">
        <v>3.4</v>
      </c>
      <c r="H58" s="31">
        <v>3.2</v>
      </c>
      <c r="I58" s="31">
        <v>2.6</v>
      </c>
      <c r="J58" s="31">
        <v>2.2000000000000002</v>
      </c>
      <c r="K58" s="31">
        <v>2</v>
      </c>
    </row>
    <row r="59" spans="2:12" x14ac:dyDescent="0.35">
      <c r="B59" s="5" t="s">
        <v>178</v>
      </c>
      <c r="C59" s="31">
        <v>6.6</v>
      </c>
      <c r="D59" s="31">
        <v>6.7</v>
      </c>
      <c r="E59" s="31">
        <v>6.7</v>
      </c>
      <c r="F59" s="36"/>
    </row>
    <row r="60" spans="2:12" x14ac:dyDescent="0.35">
      <c r="B60" s="30" t="s">
        <v>186</v>
      </c>
      <c r="F60" s="36"/>
    </row>
    <row r="61" spans="2:12" x14ac:dyDescent="0.35">
      <c r="B61" s="5" t="s">
        <v>187</v>
      </c>
      <c r="C61" s="27">
        <v>2.39</v>
      </c>
      <c r="D61" s="27">
        <v>2.38</v>
      </c>
      <c r="E61" s="27">
        <v>2.6</v>
      </c>
      <c r="F61" s="39">
        <v>2.81</v>
      </c>
      <c r="G61" s="27">
        <v>2.85</v>
      </c>
      <c r="H61" s="27">
        <v>2.85</v>
      </c>
      <c r="I61" s="27">
        <v>2.82</v>
      </c>
      <c r="J61" s="27">
        <v>2.76</v>
      </c>
      <c r="K61" s="27">
        <v>2.67</v>
      </c>
      <c r="L61" s="27">
        <v>2.5</v>
      </c>
    </row>
    <row r="62" spans="2:12" x14ac:dyDescent="0.35">
      <c r="B62" s="5" t="s">
        <v>188</v>
      </c>
      <c r="C62" s="27">
        <v>2.31</v>
      </c>
      <c r="D62" s="27">
        <v>2.35</v>
      </c>
      <c r="E62" s="27">
        <v>2.54</v>
      </c>
      <c r="F62" s="39">
        <v>2.79</v>
      </c>
    </row>
    <row r="63" spans="2:12" x14ac:dyDescent="0.35">
      <c r="B63" s="5" t="s">
        <v>189</v>
      </c>
      <c r="C63" s="27">
        <v>2.38</v>
      </c>
      <c r="D63" s="27">
        <v>2.91</v>
      </c>
      <c r="E63" s="27">
        <v>2.76</v>
      </c>
      <c r="F63" s="39">
        <v>3.49</v>
      </c>
      <c r="G63" s="27">
        <v>2.68</v>
      </c>
      <c r="H63" s="27">
        <v>2.65</v>
      </c>
      <c r="I63" s="27">
        <v>2.6</v>
      </c>
      <c r="J63" s="27">
        <v>2.48</v>
      </c>
      <c r="K63" s="27">
        <v>2.42</v>
      </c>
      <c r="L63" s="27">
        <v>2.35</v>
      </c>
    </row>
    <row r="64" spans="2:12" x14ac:dyDescent="0.35">
      <c r="B64" s="5" t="s">
        <v>190</v>
      </c>
      <c r="C64" s="27">
        <v>3.44</v>
      </c>
      <c r="D64" s="27">
        <v>3.67</v>
      </c>
      <c r="E64" s="27">
        <v>3.46</v>
      </c>
      <c r="F64" s="39">
        <v>4.3099999999999996</v>
      </c>
      <c r="G64" s="27">
        <v>3.93</v>
      </c>
      <c r="H64" s="27">
        <v>3.88</v>
      </c>
      <c r="I64" s="27">
        <v>3.83</v>
      </c>
      <c r="J64" s="27">
        <v>3.77</v>
      </c>
      <c r="K64" s="27">
        <v>3.74</v>
      </c>
      <c r="L64" s="27">
        <v>3.72</v>
      </c>
    </row>
    <row r="65" spans="2:12" x14ac:dyDescent="0.35">
      <c r="F65" s="36"/>
    </row>
    <row r="66" spans="2:12" x14ac:dyDescent="0.35">
      <c r="B66" s="11" t="s">
        <v>78</v>
      </c>
      <c r="F66" s="36"/>
    </row>
    <row r="67" spans="2:12" x14ac:dyDescent="0.35">
      <c r="B67" s="28" t="s">
        <v>2</v>
      </c>
      <c r="C67" s="29" t="s">
        <v>156</v>
      </c>
      <c r="D67" s="29" t="s">
        <v>157</v>
      </c>
      <c r="E67" s="29" t="s">
        <v>158</v>
      </c>
      <c r="F67" s="35" t="s">
        <v>159</v>
      </c>
      <c r="G67" s="29" t="s">
        <v>61</v>
      </c>
      <c r="H67" s="29" t="s">
        <v>71</v>
      </c>
      <c r="I67" s="29" t="s">
        <v>73</v>
      </c>
      <c r="J67" s="29" t="s">
        <v>75</v>
      </c>
      <c r="K67" s="29" t="s">
        <v>77</v>
      </c>
      <c r="L67" s="29" t="s">
        <v>79</v>
      </c>
    </row>
    <row r="68" spans="2:12" x14ac:dyDescent="0.35">
      <c r="B68" s="30" t="s">
        <v>160</v>
      </c>
      <c r="F68" s="36"/>
    </row>
    <row r="69" spans="2:12" x14ac:dyDescent="0.35">
      <c r="B69" s="5" t="s">
        <v>161</v>
      </c>
      <c r="C69" s="31">
        <v>4.5</v>
      </c>
      <c r="D69" s="31">
        <v>4.8</v>
      </c>
      <c r="E69" s="31">
        <v>4.3</v>
      </c>
      <c r="F69" s="37">
        <v>4</v>
      </c>
      <c r="G69" s="31">
        <v>3.9</v>
      </c>
      <c r="H69" s="31">
        <v>4</v>
      </c>
      <c r="I69" s="31">
        <v>4.5</v>
      </c>
      <c r="J69" s="31">
        <v>4.5</v>
      </c>
      <c r="K69" s="31">
        <v>4.4000000000000004</v>
      </c>
      <c r="L69" s="31">
        <v>4.3</v>
      </c>
    </row>
    <row r="70" spans="2:12" x14ac:dyDescent="0.35">
      <c r="B70" s="5" t="s">
        <v>57</v>
      </c>
      <c r="C70" s="31">
        <v>2.6</v>
      </c>
      <c r="D70" s="31">
        <v>3</v>
      </c>
      <c r="E70" s="31">
        <v>3.4</v>
      </c>
      <c r="F70" s="37">
        <v>3.4</v>
      </c>
      <c r="G70" s="31">
        <v>3.6</v>
      </c>
      <c r="H70" s="31">
        <v>3.4</v>
      </c>
      <c r="I70" s="31">
        <v>3</v>
      </c>
      <c r="J70" s="31">
        <v>2.9</v>
      </c>
      <c r="K70" s="31">
        <v>2.9</v>
      </c>
      <c r="L70" s="31">
        <v>2.5</v>
      </c>
    </row>
    <row r="71" spans="2:12" x14ac:dyDescent="0.35">
      <c r="B71" s="5" t="s">
        <v>178</v>
      </c>
      <c r="C71" s="31">
        <v>5.0999999999999996</v>
      </c>
      <c r="D71" s="31">
        <v>5.4</v>
      </c>
      <c r="E71" s="31">
        <v>5.2</v>
      </c>
      <c r="F71" s="37">
        <v>5.3</v>
      </c>
      <c r="G71" s="31">
        <v>5.2</v>
      </c>
      <c r="H71" s="31">
        <v>5.3</v>
      </c>
      <c r="I71" s="31">
        <v>5.3</v>
      </c>
      <c r="J71" s="31">
        <v>5.2</v>
      </c>
      <c r="K71" s="31">
        <v>5.2</v>
      </c>
      <c r="L71" s="31">
        <v>4.9000000000000004</v>
      </c>
    </row>
    <row r="72" spans="2:12" x14ac:dyDescent="0.35">
      <c r="B72" s="30" t="s">
        <v>181</v>
      </c>
      <c r="F72" s="36"/>
    </row>
    <row r="73" spans="2:12" x14ac:dyDescent="0.35">
      <c r="B73" s="5" t="s">
        <v>182</v>
      </c>
      <c r="C73" s="31">
        <v>2.2000000000000002</v>
      </c>
      <c r="D73" s="31">
        <v>2.2000000000000002</v>
      </c>
      <c r="E73" s="31">
        <v>2.2999999999999998</v>
      </c>
      <c r="F73" s="37">
        <v>2.8</v>
      </c>
      <c r="G73" s="31">
        <v>2.8</v>
      </c>
      <c r="H73" s="31">
        <v>2.8</v>
      </c>
      <c r="I73" s="31">
        <v>2.7</v>
      </c>
      <c r="J73" s="31">
        <v>3</v>
      </c>
      <c r="K73" s="31">
        <v>3.2</v>
      </c>
    </row>
    <row r="74" spans="2:12" x14ac:dyDescent="0.35">
      <c r="B74" s="30" t="s">
        <v>186</v>
      </c>
      <c r="F74" s="36"/>
    </row>
    <row r="75" spans="2:12" x14ac:dyDescent="0.35">
      <c r="B75" s="5" t="s">
        <v>187</v>
      </c>
      <c r="C75" s="27">
        <v>6.5</v>
      </c>
      <c r="D75" s="27">
        <v>6.44</v>
      </c>
      <c r="E75" s="27">
        <v>6.39</v>
      </c>
      <c r="F75" s="39">
        <v>6.34</v>
      </c>
      <c r="G75" s="27">
        <v>5.63</v>
      </c>
      <c r="H75" s="27">
        <v>5.53</v>
      </c>
      <c r="I75" s="27">
        <v>5.39</v>
      </c>
      <c r="J75" s="27">
        <v>5.26</v>
      </c>
      <c r="K75" s="27">
        <v>5.1100000000000003</v>
      </c>
      <c r="L75" s="27">
        <v>4.95</v>
      </c>
    </row>
    <row r="76" spans="2:12" x14ac:dyDescent="0.35">
      <c r="B76" s="30" t="s">
        <v>188</v>
      </c>
      <c r="F76" s="36"/>
    </row>
    <row r="77" spans="2:12" x14ac:dyDescent="0.35">
      <c r="B77" s="5" t="s">
        <v>189</v>
      </c>
      <c r="C77" s="27">
        <v>3.43</v>
      </c>
      <c r="D77" s="27">
        <v>3.66</v>
      </c>
      <c r="E77" s="27">
        <v>3.63</v>
      </c>
      <c r="F77" s="39">
        <v>3.72</v>
      </c>
      <c r="G77" s="27">
        <v>1.97</v>
      </c>
      <c r="H77" s="27">
        <v>1.97</v>
      </c>
      <c r="I77" s="27">
        <v>1.9</v>
      </c>
      <c r="J77" s="27">
        <v>1.89</v>
      </c>
      <c r="K77" s="27">
        <v>1.88</v>
      </c>
      <c r="L77" s="27">
        <v>1.71</v>
      </c>
    </row>
    <row r="78" spans="2:12" x14ac:dyDescent="0.35">
      <c r="B78" s="5" t="s">
        <v>190</v>
      </c>
      <c r="C78" s="27">
        <v>4</v>
      </c>
      <c r="D78" s="27">
        <v>4.18</v>
      </c>
      <c r="E78" s="27">
        <v>4.07</v>
      </c>
      <c r="F78" s="39">
        <v>4.17</v>
      </c>
      <c r="G78" s="27">
        <v>3.91</v>
      </c>
      <c r="H78" s="27">
        <v>3.85</v>
      </c>
      <c r="I78" s="27">
        <v>3.79</v>
      </c>
      <c r="J78" s="27">
        <v>3.01</v>
      </c>
      <c r="K78" s="27">
        <v>3.77</v>
      </c>
      <c r="L78" s="27">
        <v>2.97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J18"/>
  <sheetViews>
    <sheetView zoomScale="59" zoomScaleNormal="88" workbookViewId="0">
      <selection activeCell="K26" sqref="K26"/>
    </sheetView>
  </sheetViews>
  <sheetFormatPr defaultColWidth="8.6328125" defaultRowHeight="14.5" x14ac:dyDescent="0.35"/>
  <cols>
    <col min="1" max="1" width="3" customWidth="1"/>
    <col min="2" max="2" width="12" customWidth="1"/>
    <col min="3" max="5" width="13" customWidth="1"/>
  </cols>
  <sheetData>
    <row r="2" spans="2:10" ht="15" customHeight="1" x14ac:dyDescent="0.35">
      <c r="B2" s="1" t="s">
        <v>193</v>
      </c>
    </row>
    <row r="3" spans="2:10" x14ac:dyDescent="0.35">
      <c r="B3" t="s">
        <v>210</v>
      </c>
    </row>
    <row r="4" spans="2:10" ht="15" customHeight="1" x14ac:dyDescent="0.35">
      <c r="B4" s="29" t="s">
        <v>194</v>
      </c>
      <c r="C4" s="29" t="s">
        <v>195</v>
      </c>
      <c r="D4" s="29" t="s">
        <v>196</v>
      </c>
      <c r="E4" s="29" t="s">
        <v>9</v>
      </c>
    </row>
    <row r="5" spans="2:10" ht="15" customHeight="1" x14ac:dyDescent="0.35">
      <c r="B5" s="8" t="s">
        <v>197</v>
      </c>
      <c r="C5" s="33">
        <v>4.1300000000000003E-2</v>
      </c>
      <c r="D5" s="33">
        <v>4.2000000000000003E-2</v>
      </c>
      <c r="E5" s="9">
        <f t="shared" ref="E5:E15" si="0">(C5-D5)*10000</f>
        <v>-6.999999999999992</v>
      </c>
    </row>
    <row r="6" spans="2:10" ht="15" customHeight="1" x14ac:dyDescent="0.35">
      <c r="B6" s="8" t="s">
        <v>198</v>
      </c>
      <c r="C6" s="33">
        <v>4.2500000000000003E-2</v>
      </c>
      <c r="D6" s="33">
        <v>4.0300000000000002E-2</v>
      </c>
      <c r="E6" s="9">
        <f t="shared" si="0"/>
        <v>22.000000000000007</v>
      </c>
    </row>
    <row r="7" spans="2:10" ht="15" customHeight="1" x14ac:dyDescent="0.35">
      <c r="B7" s="8" t="s">
        <v>199</v>
      </c>
      <c r="C7" s="33">
        <v>4.3200000000000002E-2</v>
      </c>
      <c r="D7" s="33">
        <v>3.8300000000000001E-2</v>
      </c>
      <c r="E7" s="9">
        <f t="shared" si="0"/>
        <v>49.000000000000014</v>
      </c>
    </row>
    <row r="8" spans="2:10" ht="15" customHeight="1" x14ac:dyDescent="0.35">
      <c r="B8" s="8" t="s">
        <v>200</v>
      </c>
      <c r="C8" s="33">
        <v>4.4699999999999997E-2</v>
      </c>
      <c r="D8" s="33">
        <v>3.6600000000000001E-2</v>
      </c>
      <c r="E8" s="9">
        <f t="shared" si="0"/>
        <v>80.999999999999957</v>
      </c>
      <c r="J8" t="str">
        <f>IF(AND(('ECFC data'!$F$8-'ECFC data'!$D$8)&gt;=0,('ECFC data'!$F$17-'ECFC data'!$D$17)&gt;=0),"Overheated",IF(('ECFC data'!$F$8-'ECFC data'!$D$8)&gt;=0,"Goldilocks",IF(('ECFC data'!$F$17-'ECFC data'!$D$17)&gt;=0,"Stagflation","Depression")))</f>
        <v>Stagflation</v>
      </c>
    </row>
    <row r="9" spans="2:10" ht="15" customHeight="1" x14ac:dyDescent="0.35">
      <c r="B9" s="8" t="s">
        <v>201</v>
      </c>
      <c r="C9" s="33">
        <v>4.8000000000000001E-2</v>
      </c>
      <c r="D9" s="33">
        <v>3.5999999999999997E-2</v>
      </c>
      <c r="E9" s="9">
        <f t="shared" si="0"/>
        <v>120.00000000000004</v>
      </c>
    </row>
    <row r="10" spans="2:10" ht="15" customHeight="1" x14ac:dyDescent="0.35">
      <c r="B10" s="8" t="s">
        <v>202</v>
      </c>
      <c r="C10" s="33">
        <v>4.8899999999999999E-2</v>
      </c>
      <c r="D10" s="33">
        <v>3.5900000000000001E-2</v>
      </c>
      <c r="E10" s="9">
        <f t="shared" si="0"/>
        <v>129.99999999999997</v>
      </c>
    </row>
    <row r="11" spans="2:10" ht="15" customHeight="1" x14ac:dyDescent="0.35">
      <c r="B11" s="8" t="s">
        <v>203</v>
      </c>
      <c r="C11" s="33">
        <v>5.0200000000000002E-2</v>
      </c>
      <c r="D11" s="33">
        <v>3.7400000000000003E-2</v>
      </c>
      <c r="E11" s="9">
        <f t="shared" si="0"/>
        <v>127.99999999999999</v>
      </c>
    </row>
    <row r="12" spans="2:10" ht="15" customHeight="1" x14ac:dyDescent="0.35">
      <c r="B12" s="8" t="s">
        <v>204</v>
      </c>
      <c r="C12" s="33">
        <v>5.1299999999999998E-2</v>
      </c>
      <c r="D12" s="33">
        <v>3.9199999999999999E-2</v>
      </c>
      <c r="E12" s="9">
        <f t="shared" si="0"/>
        <v>121</v>
      </c>
    </row>
    <row r="13" spans="2:10" ht="15" customHeight="1" x14ac:dyDescent="0.35">
      <c r="B13" s="8" t="s">
        <v>205</v>
      </c>
      <c r="C13" s="33">
        <v>5.2400000000000002E-2</v>
      </c>
      <c r="D13" s="33">
        <v>4.1399999999999999E-2</v>
      </c>
      <c r="E13" s="9">
        <f t="shared" si="0"/>
        <v>110.00000000000003</v>
      </c>
    </row>
    <row r="14" spans="2:10" ht="15" customHeight="1" x14ac:dyDescent="0.35">
      <c r="B14" s="8" t="s">
        <v>206</v>
      </c>
      <c r="C14" s="33">
        <v>5.6500000000000002E-2</v>
      </c>
      <c r="D14" s="33">
        <v>4.7E-2</v>
      </c>
      <c r="E14" s="9">
        <f t="shared" si="0"/>
        <v>95.000000000000014</v>
      </c>
    </row>
    <row r="15" spans="2:10" ht="15" customHeight="1" x14ac:dyDescent="0.35">
      <c r="B15" s="8" t="s">
        <v>207</v>
      </c>
      <c r="C15" s="33">
        <v>5.6000000000000001E-2</v>
      </c>
      <c r="D15" s="33">
        <v>4.7199999999999999E-2</v>
      </c>
      <c r="E15" s="9">
        <f t="shared" si="0"/>
        <v>88.000000000000028</v>
      </c>
    </row>
    <row r="16" spans="2:10" x14ac:dyDescent="0.35">
      <c r="C16" s="34">
        <f>'ECFC data'!$L$35</f>
        <v>3.85</v>
      </c>
    </row>
    <row r="17" spans="2:2" ht="15" customHeight="1" x14ac:dyDescent="0.35">
      <c r="B17" s="2" t="s">
        <v>208</v>
      </c>
    </row>
    <row r="18" spans="2:2" ht="15" customHeight="1" x14ac:dyDescent="0.35">
      <c r="B18" s="2" t="s">
        <v>209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Market indicators</vt:lpstr>
      <vt:lpstr>Macro analysis</vt:lpstr>
      <vt:lpstr>WIRP</vt:lpstr>
      <vt:lpstr>ECFC data</vt:lpstr>
      <vt:lpstr>Yield curve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Rocco Elena</cp:lastModifiedBy>
  <cp:revision>2</cp:revision>
  <dcterms:created xsi:type="dcterms:W3CDTF">2026-10-12T17:48:42Z</dcterms:created>
  <dcterms:modified xsi:type="dcterms:W3CDTF">2026-10-12T19:56:48Z</dcterms:modified>
  <dc:language>en-US</dc:language>
</cp:coreProperties>
</file>